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kul's Gaming PC\Desktop\Financial Modelling\"/>
    </mc:Choice>
  </mc:AlternateContent>
  <xr:revisionPtr revIDLastSave="0" documentId="13_ncr:1_{EACB737B-D228-4431-BF2B-86B682573AF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tio Analysis" sheetId="21" r:id="rId1"/>
    <sheet name="Financial Statment Analysi" sheetId="19" r:id="rId2"/>
    <sheet name="Data Sheet" sheetId="6" r:id="rId3"/>
    <sheet name="Cash Flow Statement" sheetId="20" r:id="rId4"/>
  </sheets>
  <definedNames>
    <definedName name="UPDATE">'Data Sheet'!$E$1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2" i="21" l="1"/>
  <c r="K41" i="21"/>
  <c r="K40" i="21"/>
  <c r="K37" i="21"/>
  <c r="K36" i="21"/>
  <c r="K35" i="21"/>
  <c r="K34" i="21"/>
  <c r="L42" i="21"/>
  <c r="L41" i="21"/>
  <c r="L40" i="21"/>
  <c r="L37" i="21"/>
  <c r="L36" i="21"/>
  <c r="L35" i="21"/>
  <c r="L34" i="21"/>
  <c r="L31" i="21"/>
  <c r="L30" i="21"/>
  <c r="L29" i="21"/>
  <c r="L28" i="21"/>
  <c r="L27" i="21"/>
  <c r="L25" i="21"/>
  <c r="L24" i="21"/>
  <c r="L23" i="21"/>
  <c r="L22" i="21"/>
  <c r="L21" i="21"/>
  <c r="L19" i="21"/>
  <c r="L18" i="21"/>
  <c r="L17" i="21"/>
  <c r="L15" i="21"/>
  <c r="L14" i="21"/>
  <c r="L13" i="21"/>
  <c r="L12" i="21"/>
  <c r="L11" i="21"/>
  <c r="L6" i="21"/>
  <c r="L7" i="21"/>
  <c r="L8" i="21"/>
  <c r="L9" i="21"/>
  <c r="L5" i="21"/>
  <c r="K31" i="21"/>
  <c r="K30" i="21"/>
  <c r="K29" i="21"/>
  <c r="K28" i="21"/>
  <c r="K27" i="21"/>
  <c r="K25" i="21"/>
  <c r="K24" i="21"/>
  <c r="K23" i="21"/>
  <c r="K22" i="21"/>
  <c r="K21" i="21"/>
  <c r="K19" i="21"/>
  <c r="K18" i="21"/>
  <c r="K17" i="21"/>
  <c r="K15" i="21"/>
  <c r="K12" i="21"/>
  <c r="K13" i="21"/>
  <c r="K14" i="21"/>
  <c r="K11" i="21"/>
  <c r="K9" i="21"/>
  <c r="K8" i="21"/>
  <c r="K7" i="21"/>
  <c r="K6" i="21"/>
  <c r="K5" i="21"/>
  <c r="E40" i="21"/>
  <c r="F40" i="21"/>
  <c r="G40" i="21"/>
  <c r="H40" i="21"/>
  <c r="I40" i="21"/>
  <c r="E41" i="21"/>
  <c r="F41" i="21"/>
  <c r="G41" i="21"/>
  <c r="H41" i="21"/>
  <c r="I41" i="21"/>
  <c r="E42" i="21"/>
  <c r="F42" i="21"/>
  <c r="G42" i="21"/>
  <c r="H42" i="21"/>
  <c r="I42" i="21"/>
  <c r="D42" i="21"/>
  <c r="D41" i="21"/>
  <c r="D40" i="21"/>
  <c r="I31" i="21"/>
  <c r="H31" i="21"/>
  <c r="G31" i="21"/>
  <c r="F31" i="21"/>
  <c r="E31" i="21"/>
  <c r="I30" i="21"/>
  <c r="H30" i="21"/>
  <c r="G30" i="21"/>
  <c r="F30" i="21"/>
  <c r="E30" i="21"/>
  <c r="D31" i="21"/>
  <c r="D30" i="21"/>
  <c r="I29" i="21"/>
  <c r="I36" i="21" s="1"/>
  <c r="H29" i="21"/>
  <c r="H36" i="21" s="1"/>
  <c r="G29" i="21"/>
  <c r="G36" i="21" s="1"/>
  <c r="F29" i="21"/>
  <c r="F36" i="21" s="1"/>
  <c r="E29" i="21"/>
  <c r="E36" i="21" s="1"/>
  <c r="D29" i="21"/>
  <c r="D36" i="21" s="1"/>
  <c r="I28" i="21"/>
  <c r="I35" i="21" s="1"/>
  <c r="H28" i="21"/>
  <c r="H35" i="21" s="1"/>
  <c r="G28" i="21"/>
  <c r="G35" i="21" s="1"/>
  <c r="F28" i="21"/>
  <c r="F35" i="21" s="1"/>
  <c r="E28" i="21"/>
  <c r="E35" i="21" s="1"/>
  <c r="D28" i="21"/>
  <c r="D35" i="21" s="1"/>
  <c r="E27" i="21"/>
  <c r="E34" i="21" s="1"/>
  <c r="E37" i="21" s="1"/>
  <c r="F27" i="21"/>
  <c r="F34" i="21" s="1"/>
  <c r="G27" i="21"/>
  <c r="G34" i="21" s="1"/>
  <c r="H27" i="21"/>
  <c r="H34" i="21" s="1"/>
  <c r="I27" i="21"/>
  <c r="I34" i="21" s="1"/>
  <c r="D27" i="21"/>
  <c r="D34" i="21" s="1"/>
  <c r="E25" i="21"/>
  <c r="F25" i="21"/>
  <c r="G25" i="21"/>
  <c r="H25" i="21"/>
  <c r="I25" i="21"/>
  <c r="D25" i="21"/>
  <c r="E23" i="21"/>
  <c r="F23" i="21"/>
  <c r="G23" i="21"/>
  <c r="H23" i="21"/>
  <c r="I23" i="21"/>
  <c r="D23" i="21"/>
  <c r="E22" i="21"/>
  <c r="F22" i="21"/>
  <c r="G22" i="21"/>
  <c r="H22" i="21"/>
  <c r="I22" i="21"/>
  <c r="D22" i="21"/>
  <c r="E21" i="21"/>
  <c r="F21" i="21"/>
  <c r="G21" i="21"/>
  <c r="H21" i="21"/>
  <c r="I21" i="21"/>
  <c r="H14" i="21"/>
  <c r="D21" i="21"/>
  <c r="F9" i="21"/>
  <c r="G9" i="21"/>
  <c r="H9" i="21"/>
  <c r="I9" i="21"/>
  <c r="F8" i="21"/>
  <c r="G8" i="21"/>
  <c r="H8" i="21"/>
  <c r="I8" i="21"/>
  <c r="F7" i="21"/>
  <c r="G7" i="21"/>
  <c r="H7" i="21"/>
  <c r="I7" i="21"/>
  <c r="F6" i="21"/>
  <c r="G6" i="21"/>
  <c r="H6" i="21"/>
  <c r="I6" i="21"/>
  <c r="F5" i="21"/>
  <c r="G5" i="21"/>
  <c r="H5" i="21"/>
  <c r="I5" i="21"/>
  <c r="E13" i="21"/>
  <c r="E19" i="21" s="1"/>
  <c r="F13" i="21"/>
  <c r="F19" i="21" s="1"/>
  <c r="G13" i="21"/>
  <c r="G19" i="21" s="1"/>
  <c r="H13" i="21"/>
  <c r="I13" i="21"/>
  <c r="I19" i="21" s="1"/>
  <c r="H19" i="21"/>
  <c r="E14" i="21"/>
  <c r="F14" i="21"/>
  <c r="G14" i="21"/>
  <c r="I14" i="21"/>
  <c r="D13" i="21"/>
  <c r="D19" i="21" s="1"/>
  <c r="E18" i="21"/>
  <c r="F18" i="21"/>
  <c r="G18" i="21"/>
  <c r="H18" i="21"/>
  <c r="I18" i="21"/>
  <c r="E17" i="21"/>
  <c r="F17" i="21"/>
  <c r="G17" i="21"/>
  <c r="H17" i="21"/>
  <c r="I17" i="21"/>
  <c r="D18" i="21"/>
  <c r="D17" i="21"/>
  <c r="E15" i="21"/>
  <c r="F15" i="21"/>
  <c r="G15" i="21"/>
  <c r="H15" i="21"/>
  <c r="I15" i="21"/>
  <c r="D15" i="21"/>
  <c r="D14" i="21"/>
  <c r="E12" i="21"/>
  <c r="F12" i="21"/>
  <c r="G12" i="21"/>
  <c r="H12" i="21"/>
  <c r="I12" i="21"/>
  <c r="D12" i="21"/>
  <c r="E11" i="21"/>
  <c r="F11" i="21"/>
  <c r="G11" i="21"/>
  <c r="H11" i="21"/>
  <c r="I11" i="21"/>
  <c r="D11" i="21"/>
  <c r="E9" i="21"/>
  <c r="E8" i="21"/>
  <c r="E7" i="21"/>
  <c r="E6" i="21"/>
  <c r="E5" i="21"/>
  <c r="F9" i="19"/>
  <c r="G9" i="19"/>
  <c r="H9" i="19"/>
  <c r="I9" i="19"/>
  <c r="J9" i="19"/>
  <c r="E9" i="19"/>
  <c r="E3" i="21"/>
  <c r="F3" i="21"/>
  <c r="G3" i="21"/>
  <c r="H3" i="21"/>
  <c r="I3" i="21"/>
  <c r="D3" i="21"/>
  <c r="B2" i="21"/>
  <c r="E81" i="19"/>
  <c r="F81" i="19"/>
  <c r="G81" i="19"/>
  <c r="H81" i="19"/>
  <c r="I81" i="19"/>
  <c r="D81" i="19"/>
  <c r="E79" i="19"/>
  <c r="F79" i="19"/>
  <c r="G79" i="19"/>
  <c r="H79" i="19"/>
  <c r="I79" i="19"/>
  <c r="D79" i="19"/>
  <c r="E77" i="19"/>
  <c r="F77" i="19"/>
  <c r="G77" i="19"/>
  <c r="H77" i="19"/>
  <c r="I77" i="19"/>
  <c r="D77" i="19"/>
  <c r="E75" i="19"/>
  <c r="F75" i="19"/>
  <c r="G75" i="19"/>
  <c r="H75" i="19"/>
  <c r="I75" i="19"/>
  <c r="D75" i="19"/>
  <c r="D46" i="19"/>
  <c r="E46" i="19"/>
  <c r="F46" i="19"/>
  <c r="G46" i="19"/>
  <c r="H46" i="19"/>
  <c r="I46" i="19"/>
  <c r="J46" i="19"/>
  <c r="D51" i="19"/>
  <c r="E51" i="19"/>
  <c r="F51" i="19"/>
  <c r="G51" i="19"/>
  <c r="H51" i="19"/>
  <c r="I51" i="19"/>
  <c r="D52" i="19"/>
  <c r="E52" i="19"/>
  <c r="F52" i="19"/>
  <c r="G52" i="19"/>
  <c r="H52" i="19"/>
  <c r="I52" i="19"/>
  <c r="D53" i="19"/>
  <c r="E53" i="19"/>
  <c r="F53" i="19"/>
  <c r="G53" i="19"/>
  <c r="H53" i="19"/>
  <c r="I53" i="19"/>
  <c r="D54" i="19"/>
  <c r="E54" i="19"/>
  <c r="F54" i="19"/>
  <c r="G54" i="19"/>
  <c r="H54" i="19"/>
  <c r="I54" i="19"/>
  <c r="D55" i="19"/>
  <c r="E55" i="19"/>
  <c r="F55" i="19"/>
  <c r="G55" i="19"/>
  <c r="H55" i="19"/>
  <c r="I55" i="19"/>
  <c r="D57" i="19"/>
  <c r="E57" i="19"/>
  <c r="F57" i="19"/>
  <c r="F61" i="19" s="1"/>
  <c r="F68" i="19" s="1"/>
  <c r="F70" i="19" s="1"/>
  <c r="G57" i="19"/>
  <c r="H57" i="19"/>
  <c r="I57" i="19"/>
  <c r="D58" i="19"/>
  <c r="E58" i="19"/>
  <c r="F58" i="19"/>
  <c r="G58" i="19"/>
  <c r="G61" i="19" s="1"/>
  <c r="G68" i="19" s="1"/>
  <c r="G70" i="19" s="1"/>
  <c r="H58" i="19"/>
  <c r="I58" i="19"/>
  <c r="D59" i="19"/>
  <c r="D61" i="19" s="1"/>
  <c r="E59" i="19"/>
  <c r="F59" i="19"/>
  <c r="G59" i="19"/>
  <c r="H59" i="19"/>
  <c r="I59" i="19"/>
  <c r="I61" i="19" s="1"/>
  <c r="I68" i="19" s="1"/>
  <c r="I70" i="19" s="1"/>
  <c r="D60" i="19"/>
  <c r="E60" i="19"/>
  <c r="F60" i="19"/>
  <c r="G60" i="19"/>
  <c r="H60" i="19"/>
  <c r="I60" i="19"/>
  <c r="E61" i="19"/>
  <c r="H61" i="19"/>
  <c r="H68" i="19" s="1"/>
  <c r="H70" i="19" s="1"/>
  <c r="D63" i="19"/>
  <c r="E63" i="19"/>
  <c r="F63" i="19"/>
  <c r="G63" i="19"/>
  <c r="H63" i="19"/>
  <c r="I63" i="19"/>
  <c r="D64" i="19"/>
  <c r="D66" i="19" s="1"/>
  <c r="E64" i="19"/>
  <c r="F64" i="19"/>
  <c r="G64" i="19"/>
  <c r="H64" i="19"/>
  <c r="I64" i="19"/>
  <c r="D65" i="19"/>
  <c r="E65" i="19"/>
  <c r="F65" i="19"/>
  <c r="F66" i="19" s="1"/>
  <c r="G65" i="19"/>
  <c r="H65" i="19"/>
  <c r="I65" i="19"/>
  <c r="E66" i="19"/>
  <c r="G66" i="19"/>
  <c r="H66" i="19"/>
  <c r="I66" i="19"/>
  <c r="E68" i="19"/>
  <c r="E70" i="19" s="1"/>
  <c r="D38" i="19"/>
  <c r="D43" i="19" s="1"/>
  <c r="E38" i="19"/>
  <c r="E43" i="19" s="1"/>
  <c r="F38" i="19"/>
  <c r="F43" i="19" s="1"/>
  <c r="G38" i="19"/>
  <c r="G43" i="19" s="1"/>
  <c r="H38" i="19"/>
  <c r="H43" i="19" s="1"/>
  <c r="I38" i="19"/>
  <c r="I43" i="19" s="1"/>
  <c r="J32" i="19"/>
  <c r="D32" i="19"/>
  <c r="E32" i="19"/>
  <c r="F32" i="19"/>
  <c r="G32" i="19"/>
  <c r="H32" i="19"/>
  <c r="I32" i="19"/>
  <c r="J26" i="19"/>
  <c r="E26" i="19"/>
  <c r="F26" i="19"/>
  <c r="G26" i="19"/>
  <c r="H26" i="19"/>
  <c r="I26" i="19"/>
  <c r="D26" i="19"/>
  <c r="J23" i="19"/>
  <c r="E23" i="19"/>
  <c r="F23" i="19"/>
  <c r="G23" i="19"/>
  <c r="H23" i="19"/>
  <c r="I23" i="19"/>
  <c r="D23" i="19"/>
  <c r="E17" i="19"/>
  <c r="F17" i="19"/>
  <c r="G17" i="19"/>
  <c r="H17" i="19"/>
  <c r="I17" i="19"/>
  <c r="J17" i="19"/>
  <c r="D17" i="19"/>
  <c r="J11" i="19"/>
  <c r="E11" i="19"/>
  <c r="F11" i="19"/>
  <c r="G11" i="19"/>
  <c r="H11" i="19"/>
  <c r="I11" i="19"/>
  <c r="D11" i="19"/>
  <c r="J8" i="19"/>
  <c r="E8" i="19"/>
  <c r="F8" i="19"/>
  <c r="G8" i="19"/>
  <c r="H8" i="19"/>
  <c r="I8" i="19"/>
  <c r="D8" i="19"/>
  <c r="E5" i="19"/>
  <c r="F5" i="19"/>
  <c r="G5" i="19"/>
  <c r="H5" i="19"/>
  <c r="I5" i="19"/>
  <c r="D5" i="19"/>
  <c r="B4" i="19"/>
  <c r="D24" i="21" l="1"/>
  <c r="H24" i="21"/>
  <c r="I24" i="21"/>
  <c r="G24" i="21"/>
  <c r="F24" i="21"/>
  <c r="E24" i="21"/>
  <c r="I37" i="21"/>
  <c r="H37" i="21"/>
  <c r="D37" i="21"/>
  <c r="F37" i="21"/>
  <c r="G37" i="21"/>
  <c r="D68" i="19"/>
  <c r="D70" i="19" s="1"/>
  <c r="F27" i="19"/>
  <c r="H14" i="19"/>
  <c r="H20" i="19" s="1"/>
  <c r="H21" i="19" s="1"/>
  <c r="D18" i="19"/>
  <c r="J38" i="19"/>
  <c r="J43" i="19" s="1"/>
  <c r="F24" i="19"/>
  <c r="G14" i="19"/>
  <c r="G20" i="19" s="1"/>
  <c r="G21" i="19" s="1"/>
  <c r="F18" i="19"/>
  <c r="E18" i="19"/>
  <c r="D27" i="19"/>
  <c r="G18" i="19"/>
  <c r="J18" i="19"/>
  <c r="E24" i="19"/>
  <c r="I24" i="19"/>
  <c r="H24" i="19"/>
  <c r="J27" i="19"/>
  <c r="J14" i="19"/>
  <c r="G24" i="19"/>
  <c r="I27" i="19"/>
  <c r="D14" i="19"/>
  <c r="H27" i="19"/>
  <c r="E27" i="19"/>
  <c r="I12" i="19"/>
  <c r="I18" i="19"/>
  <c r="J24" i="19"/>
  <c r="H18" i="19"/>
  <c r="F14" i="19"/>
  <c r="D24" i="19"/>
  <c r="I14" i="19"/>
  <c r="D12" i="19"/>
  <c r="G12" i="19"/>
  <c r="G27" i="19"/>
  <c r="F12" i="19"/>
  <c r="H12" i="19"/>
  <c r="E12" i="19"/>
  <c r="E14" i="19"/>
  <c r="J12" i="19"/>
  <c r="B6" i="6"/>
  <c r="E1" i="6"/>
  <c r="H29" i="19" l="1"/>
  <c r="H15" i="19"/>
  <c r="G29" i="19"/>
  <c r="G33" i="19" s="1"/>
  <c r="G15" i="19"/>
  <c r="H30" i="19"/>
  <c r="H35" i="19"/>
  <c r="D20" i="19"/>
  <c r="D15" i="19"/>
  <c r="J20" i="19"/>
  <c r="J15" i="19"/>
  <c r="E20" i="19"/>
  <c r="E15" i="19"/>
  <c r="F20" i="19"/>
  <c r="F15" i="19"/>
  <c r="H33" i="19"/>
  <c r="I20" i="19"/>
  <c r="I15" i="19"/>
  <c r="G35" i="19"/>
  <c r="G30" i="19" l="1"/>
  <c r="E21" i="19"/>
  <c r="E29" i="19"/>
  <c r="G36" i="19"/>
  <c r="G40" i="19"/>
  <c r="J21" i="19"/>
  <c r="J29" i="19"/>
  <c r="I21" i="19"/>
  <c r="I29" i="19"/>
  <c r="D21" i="19"/>
  <c r="D29" i="19"/>
  <c r="H40" i="19"/>
  <c r="H36" i="19"/>
  <c r="F21" i="19"/>
  <c r="F29" i="19"/>
  <c r="G44" i="19" l="1"/>
  <c r="H41" i="19"/>
  <c r="H44" i="19"/>
  <c r="J35" i="19"/>
  <c r="J30" i="19"/>
  <c r="J33" i="19"/>
  <c r="I30" i="19"/>
  <c r="I35" i="19"/>
  <c r="I33" i="19"/>
  <c r="F30" i="19"/>
  <c r="F35" i="19"/>
  <c r="F33" i="19"/>
  <c r="D30" i="19"/>
  <c r="D35" i="19"/>
  <c r="D33" i="19"/>
  <c r="E30" i="19"/>
  <c r="E35" i="19"/>
  <c r="E33" i="19"/>
  <c r="F40" i="19" l="1"/>
  <c r="F36" i="19"/>
  <c r="D40" i="19"/>
  <c r="D36" i="19"/>
  <c r="E40" i="19"/>
  <c r="E36" i="19"/>
  <c r="I36" i="19"/>
  <c r="I40" i="19"/>
  <c r="J36" i="19"/>
  <c r="J40" i="19"/>
  <c r="E41" i="19" l="1"/>
  <c r="E44" i="19"/>
  <c r="J41" i="19"/>
  <c r="J44" i="19"/>
  <c r="I41" i="19"/>
  <c r="I44" i="19"/>
  <c r="D44" i="19"/>
  <c r="F41" i="19"/>
  <c r="F44" i="19"/>
  <c r="G41" i="19"/>
</calcChain>
</file>

<file path=xl/sharedStrings.xml><?xml version="1.0" encoding="utf-8"?>
<sst xmlns="http://schemas.openxmlformats.org/spreadsheetml/2006/main" count="184" uniqueCount="147">
  <si>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</si>
  <si>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</si>
  <si>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</si>
  <si>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</si>
  <si>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</si>
  <si>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</si>
  <si>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</si>
  <si>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</si>
  <si>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</si>
  <si>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</si>
  <si>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</si>
  <si>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</si>
  <si>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</si>
  <si>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</si>
  <si>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</si>
  <si>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</si>
  <si>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</si>
  <si>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</si>
  <si>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</si>
  <si>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</si>
  <si>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</si>
  <si>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</si>
  <si>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</si>
  <si>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</si>
  <si>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</si>
  <si>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</si>
  <si>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</si>
  <si>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</si>
  <si>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</si>
  <si>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</si>
  <si>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</si>
  <si>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</si>
  <si>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EICHER MOTORS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</si>
  <si>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</si>
  <si>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</si>
  <si>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</si>
  <si>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</si>
  <si>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</si>
  <si>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</si>
  <si>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</si>
  <si>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</si>
  <si>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</si>
  <si>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</si>
  <si>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</si>
  <si>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</si>
  <si>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</si>
  <si>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</si>
  <si>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</si>
  <si>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</si>
  <si>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</si>
  <si>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</si>
  <si>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</si>
  <si>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</si>
  <si>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</si>
  <si>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</si>
  <si>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</si>
  <si>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</si>
  <si>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Income Statement</t>
  </si>
  <si>
    <t>Sales Growth</t>
  </si>
  <si>
    <t>-</t>
  </si>
  <si>
    <t>COGS</t>
  </si>
  <si>
    <t>COGS % Sales</t>
  </si>
  <si>
    <t>Gross Profit</t>
  </si>
  <si>
    <t>Selling &amp; General Expenses</t>
  </si>
  <si>
    <t>EBITDA</t>
  </si>
  <si>
    <t>S &amp; G Exp % Sales</t>
  </si>
  <si>
    <t>EBITDA % Sales</t>
  </si>
  <si>
    <t>Interest % Sales</t>
  </si>
  <si>
    <t>Depreciation % Sales</t>
  </si>
  <si>
    <t>Gross Margins</t>
  </si>
  <si>
    <t>Earnings Before Tax</t>
  </si>
  <si>
    <t>EBT % Sales</t>
  </si>
  <si>
    <t>Effective Tax Rate</t>
  </si>
  <si>
    <t>Net Profit</t>
  </si>
  <si>
    <t>Net Margins</t>
  </si>
  <si>
    <t xml:space="preserve"> </t>
  </si>
  <si>
    <t>Earnings Per Share</t>
  </si>
  <si>
    <t>Dividend Per Share</t>
  </si>
  <si>
    <t>No of Equity Shares</t>
  </si>
  <si>
    <t>EPS Growth</t>
  </si>
  <si>
    <t>Dividend Payout Ratio</t>
  </si>
  <si>
    <t>Retained Earnings</t>
  </si>
  <si>
    <t>Balance Sheet</t>
  </si>
  <si>
    <t>Fixed Assets Net Block</t>
  </si>
  <si>
    <t>Total Non Current Assets</t>
  </si>
  <si>
    <t>Total Liabilities</t>
  </si>
  <si>
    <t>Total Current Assets</t>
  </si>
  <si>
    <t>Total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</si>
  <si>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</si>
  <si>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</si>
  <si>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</si>
  <si>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</si>
  <si>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</si>
  <si>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</si>
  <si>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</si>
  <si>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</si>
  <si>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</si>
  <si>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</si>
  <si>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</si>
  <si>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</si>
  <si>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</si>
  <si>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</si>
  <si>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</si>
  <si>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</si>
  <si>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</si>
  <si>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</si>
  <si>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</si>
  <si>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</si>
  <si>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</si>
  <si>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</si>
  <si>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</si>
  <si>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</si>
  <si>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</si>
  <si>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Cash Flow Statement</t>
  </si>
  <si>
    <t>Cash From Operating Activities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</si>
  <si>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</si>
  <si>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</si>
  <si>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</si>
  <si>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</si>
  <si>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</si>
  <si>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</si>
  <si>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</si>
  <si>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Net Profit Margin</t>
  </si>
  <si>
    <t>Sales Expense % Sales</t>
  </si>
  <si>
    <t>Returned on Capital Employed</t>
  </si>
  <si>
    <t>Retained Earnings %</t>
  </si>
  <si>
    <t>Return on Equity</t>
  </si>
  <si>
    <t>Self Sustained Growth Rate</t>
  </si>
  <si>
    <t>Interest Coverage Ratio</t>
  </si>
  <si>
    <t>Debtor Turnover Ratio</t>
  </si>
  <si>
    <t>Creditor Turnover Ratio</t>
  </si>
  <si>
    <t>Capital Turnover Ratio</t>
  </si>
  <si>
    <t>Debtors Days</t>
  </si>
  <si>
    <t>Payable Days</t>
  </si>
  <si>
    <t>Inventory Days</t>
  </si>
  <si>
    <t>Cash Conevrsion Cycle</t>
  </si>
  <si>
    <t>CFO/Sales</t>
  </si>
  <si>
    <t>CFO/Total Assets</t>
  </si>
  <si>
    <t xml:space="preserve">CFO/Total Debt </t>
  </si>
  <si>
    <t>EBT Margin</t>
  </si>
  <si>
    <t>Operating Income % Sales</t>
  </si>
  <si>
    <t>Inventory Turnover Ratio</t>
  </si>
  <si>
    <t>Fixed Capital Turnover Ratio</t>
  </si>
  <si>
    <t>(in days)</t>
  </si>
  <si>
    <t>Mean</t>
  </si>
  <si>
    <t>Median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</si>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</sst>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0.0%"/>
    <numFmt numFmtId="168" formatCode="&quot;₹&quot;\ #,##0.00"/>
    <numFmt numFmtId="169" formatCode="0.00&quot;x&quot;"/>
    <numFmt numFmtId="172" formatCode="0\ &quot;days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1"/>
      <color theme="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2" borderId="0" applyNumberFormat="0" applyBorder="0" applyAlignment="0" applyProtection="0"/>
    <xf numFmtId="9" fontId="2" fillId="0" borderId="0" applyFont="0" applyFill="0" applyBorder="0" applyAlignment="0" applyProtection="0"/>
  </cellStyleXfs>
  <cellXfs count="68">
    <xf numFmtId="0" fontId="0" fillId="0" borderId="0" xfId="0"/>
    <xf numFmtId="0" fontId="6" fillId="0" borderId="0" xfId="0" applyFont="1"/>
    <xf numFmtId="165" fontId="7" fillId="3" borderId="0" xfId="0" applyNumberFormat="1" applyFont="1" applyFill="1" applyBorder="1" applyAlignment="1">
      <alignment horizontal="center"/>
    </xf>
    <xf numFmtId="43" fontId="5" fillId="0" borderId="0" xfId="1" applyFont="1" applyBorder="1"/>
    <xf numFmtId="43" fontId="6" fillId="0" borderId="0" xfId="1" applyFont="1" applyBorder="1"/>
    <xf numFmtId="165" fontId="7" fillId="3" borderId="0" xfId="1" applyNumberFormat="1" applyFont="1" applyFill="1" applyBorder="1"/>
    <xf numFmtId="165" fontId="8" fillId="0" borderId="0" xfId="1" applyNumberFormat="1" applyFont="1" applyFill="1" applyBorder="1"/>
    <xf numFmtId="164" fontId="6" fillId="0" borderId="0" xfId="1" applyNumberFormat="1" applyFont="1" applyBorder="1"/>
    <xf numFmtId="0" fontId="10" fillId="4" borderId="0" xfId="0" applyFont="1" applyFill="1"/>
    <xf numFmtId="17" fontId="10" fillId="4" borderId="0" xfId="0" applyNumberFormat="1" applyFont="1" applyFill="1"/>
    <xf numFmtId="17" fontId="10" fillId="4" borderId="0" xfId="0" applyNumberFormat="1" applyFont="1" applyFill="1" applyAlignment="1">
      <alignment horizontal="right"/>
    </xf>
    <xf numFmtId="0" fontId="1" fillId="0" borderId="0" xfId="0" applyFont="1"/>
    <xf numFmtId="166" fontId="0" fillId="0" borderId="0" xfId="0" applyNumberFormat="1"/>
    <xf numFmtId="0" fontId="11" fillId="0" borderId="0" xfId="0" applyFont="1"/>
    <xf numFmtId="167" fontId="11" fillId="0" borderId="0" xfId="4" applyNumberFormat="1" applyFont="1"/>
    <xf numFmtId="168" fontId="0" fillId="0" borderId="0" xfId="0" applyNumberFormat="1"/>
    <xf numFmtId="10" fontId="0" fillId="0" borderId="0" xfId="4" applyNumberFormat="1" applyFont="1"/>
    <xf numFmtId="10" fontId="11" fillId="0" borderId="0" xfId="0" applyNumberFormat="1" applyFont="1" applyAlignment="1">
      <alignment horizontal="right"/>
    </xf>
    <xf numFmtId="10" fontId="11" fillId="0" borderId="0" xfId="4" applyNumberFormat="1" applyFont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10" fillId="6" borderId="0" xfId="0" applyFont="1" applyFill="1"/>
    <xf numFmtId="17" fontId="10" fillId="6" borderId="0" xfId="0" applyNumberFormat="1" applyFont="1" applyFill="1"/>
    <xf numFmtId="17" fontId="10" fillId="6" borderId="0" xfId="0" applyNumberFormat="1" applyFont="1" applyFill="1" applyAlignment="1">
      <alignment horizontal="right"/>
    </xf>
    <xf numFmtId="0" fontId="0" fillId="0" borderId="0" xfId="0" applyNumberFormat="1"/>
    <xf numFmtId="43" fontId="6" fillId="0" borderId="0" xfId="1" applyFont="1" applyFill="1" applyBorder="1"/>
    <xf numFmtId="43" fontId="5" fillId="0" borderId="0" xfId="1" applyFont="1" applyFill="1" applyBorder="1"/>
    <xf numFmtId="0" fontId="12" fillId="0" borderId="0" xfId="0" applyFont="1"/>
    <xf numFmtId="17" fontId="0" fillId="0" borderId="0" xfId="0" applyNumberFormat="1"/>
    <xf numFmtId="3" fontId="0" fillId="0" borderId="0" xfId="0" applyNumberFormat="1"/>
    <xf numFmtId="17" fontId="13" fillId="6" borderId="0" xfId="0" applyNumberFormat="1" applyFont="1" applyFill="1"/>
    <xf numFmtId="0" fontId="13" fillId="6" borderId="0" xfId="0" applyFont="1" applyFill="1"/>
    <xf numFmtId="3" fontId="13" fillId="6" borderId="0" xfId="0" applyNumberFormat="1" applyFont="1" applyFill="1"/>
    <xf numFmtId="166" fontId="1" fillId="0" borderId="0" xfId="0" applyNumberFormat="1" applyFont="1"/>
    <xf numFmtId="0" fontId="1" fillId="0" borderId="2" xfId="0" applyFont="1" applyBorder="1"/>
    <xf numFmtId="168" fontId="1" fillId="0" borderId="2" xfId="0" applyNumberFormat="1" applyFont="1" applyBorder="1"/>
    <xf numFmtId="0" fontId="1" fillId="0" borderId="3" xfId="0" applyFont="1" applyBorder="1"/>
    <xf numFmtId="168" fontId="1" fillId="0" borderId="3" xfId="0" applyNumberFormat="1" applyFont="1" applyBorder="1"/>
    <xf numFmtId="43" fontId="5" fillId="0" borderId="3" xfId="1" applyFont="1" applyBorder="1"/>
    <xf numFmtId="43" fontId="5" fillId="0" borderId="3" xfId="1" applyFont="1" applyFill="1" applyBorder="1"/>
    <xf numFmtId="17" fontId="14" fillId="6" borderId="0" xfId="0" applyNumberFormat="1" applyFont="1" applyFill="1"/>
    <xf numFmtId="3" fontId="14" fillId="6" borderId="0" xfId="0" applyNumberFormat="1" applyFont="1" applyFill="1"/>
    <xf numFmtId="0" fontId="14" fillId="6" borderId="0" xfId="0" applyFont="1" applyFill="1"/>
    <xf numFmtId="0" fontId="6" fillId="0" borderId="0" xfId="0" applyFont="1" applyFill="1"/>
    <xf numFmtId="0" fontId="0" fillId="0" borderId="0" xfId="0" applyFont="1" applyFill="1"/>
    <xf numFmtId="164" fontId="6" fillId="0" borderId="0" xfId="1" applyNumberFormat="1" applyFont="1" applyFill="1" applyBorder="1"/>
    <xf numFmtId="0" fontId="10" fillId="4" borderId="1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43" fontId="9" fillId="0" borderId="0" xfId="2" applyNumberFormat="1" applyFont="1" applyBorder="1" applyAlignment="1" applyProtection="1">
      <alignment horizontal="center"/>
    </xf>
    <xf numFmtId="43" fontId="7" fillId="2" borderId="0" xfId="3" applyNumberFormat="1" applyFont="1" applyBorder="1" applyAlignment="1">
      <alignment horizontal="center"/>
    </xf>
    <xf numFmtId="0" fontId="0" fillId="0" borderId="0" xfId="0" applyBorder="1"/>
    <xf numFmtId="10" fontId="0" fillId="0" borderId="0" xfId="0" applyNumberFormat="1" applyBorder="1"/>
    <xf numFmtId="169" fontId="0" fillId="0" borderId="0" xfId="4" applyNumberFormat="1" applyFont="1"/>
    <xf numFmtId="0" fontId="15" fillId="0" borderId="0" xfId="0" applyFont="1"/>
    <xf numFmtId="0" fontId="0" fillId="0" borderId="4" xfId="0" applyBorder="1"/>
    <xf numFmtId="10" fontId="0" fillId="0" borderId="4" xfId="4" applyNumberFormat="1" applyFont="1" applyBorder="1"/>
    <xf numFmtId="10" fontId="0" fillId="0" borderId="0" xfId="4" applyNumberFormat="1" applyFont="1" applyBorder="1"/>
    <xf numFmtId="0" fontId="0" fillId="0" borderId="5" xfId="0" applyBorder="1"/>
    <xf numFmtId="10" fontId="0" fillId="0" borderId="5" xfId="4" applyNumberFormat="1" applyFont="1" applyBorder="1"/>
    <xf numFmtId="10" fontId="0" fillId="0" borderId="4" xfId="0" applyNumberFormat="1" applyBorder="1"/>
    <xf numFmtId="169" fontId="0" fillId="0" borderId="5" xfId="4" applyNumberFormat="1" applyFont="1" applyBorder="1"/>
    <xf numFmtId="169" fontId="0" fillId="0" borderId="4" xfId="4" applyNumberFormat="1" applyFont="1" applyBorder="1"/>
    <xf numFmtId="169" fontId="0" fillId="0" borderId="0" xfId="4" applyNumberFormat="1" applyFont="1" applyBorder="1"/>
    <xf numFmtId="172" fontId="0" fillId="0" borderId="4" xfId="0" applyNumberFormat="1" applyBorder="1"/>
    <xf numFmtId="172" fontId="0" fillId="0" borderId="0" xfId="0" applyNumberFormat="1" applyBorder="1"/>
    <xf numFmtId="172" fontId="0" fillId="0" borderId="5" xfId="0" applyNumberFormat="1" applyBorder="1"/>
    <xf numFmtId="17" fontId="10" fillId="4" borderId="0" xfId="0" applyNumberFormat="1" applyFont="1" applyFill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20ED-703F-4FE1-9CCF-4BFAE9123127}">
  <sheetPr>
    <tabColor rgb="FFFFFF00"/>
  </sheetPr>
  <dimension ref="B2:M42"/>
  <sheetViews>
    <sheetView showGridLines="0" zoomScale="85" zoomScaleNormal="85" workbookViewId="0">
      <pane ySplit="3" topLeftCell="A4" activePane="bottomLeft" state="frozen"/>
      <selection pane="bottomLeft" activeCell="O26" sqref="O26"/>
    </sheetView>
  </sheetViews>
  <sheetFormatPr defaultRowHeight="14.4" x14ac:dyDescent="0.3"/>
  <cols>
    <col min="1" max="1" width="1.88671875" customWidth="1"/>
    <col min="2" max="2" width="15.6640625" customWidth="1"/>
    <col min="3" max="3" width="12.44140625" customWidth="1"/>
    <col min="4" max="9" width="11" bestFit="1" customWidth="1"/>
    <col min="10" max="10" width="17" customWidth="1"/>
    <col min="11" max="11" width="10.21875" bestFit="1" customWidth="1"/>
  </cols>
  <sheetData>
    <row r="2" spans="2:12" x14ac:dyDescent="0.3">
      <c r="B2" s="48" t="str">
        <f>"Ratio Analysis - "&amp;'Data Sheet'!B1</f>
        <v>Ratio Analysis - EICHER MOTORS LTD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2:12" x14ac:dyDescent="0.3">
      <c r="B3" s="8" t="s">
        <v>54</v>
      </c>
      <c r="C3" s="8"/>
      <c r="D3" s="9">
        <f>'Financial Statment Analysi'!D5</f>
        <v>43921</v>
      </c>
      <c r="E3" s="9">
        <f>'Financial Statment Analysi'!E5</f>
        <v>44286</v>
      </c>
      <c r="F3" s="9">
        <f>'Financial Statment Analysi'!F5</f>
        <v>44651</v>
      </c>
      <c r="G3" s="9">
        <f>'Financial Statment Analysi'!G5</f>
        <v>45016</v>
      </c>
      <c r="H3" s="9">
        <f>'Financial Statment Analysi'!H5</f>
        <v>45382</v>
      </c>
      <c r="I3" s="9">
        <f>'Financial Statment Analysi'!I5</f>
        <v>45747</v>
      </c>
      <c r="J3" s="67" t="s">
        <v>146</v>
      </c>
      <c r="K3" s="9" t="s">
        <v>144</v>
      </c>
      <c r="L3" s="9" t="s">
        <v>145</v>
      </c>
    </row>
    <row r="5" spans="2:12" x14ac:dyDescent="0.3">
      <c r="B5" s="55" t="s">
        <v>58</v>
      </c>
      <c r="C5" s="55"/>
      <c r="D5" s="55"/>
      <c r="E5" s="56">
        <f>'Financial Statment Analysi'!E9</f>
        <v>-4.732902318000165E-2</v>
      </c>
      <c r="F5" s="56">
        <f>'Financial Statment Analysi'!F9</f>
        <v>0.18089640897441028</v>
      </c>
      <c r="G5" s="56">
        <f>'Financial Statment Analysi'!G9</f>
        <v>0.40244886544058311</v>
      </c>
      <c r="H5" s="56">
        <f>'Financial Statment Analysi'!H9</f>
        <v>0.14496426439775711</v>
      </c>
      <c r="I5" s="56">
        <f>'Financial Statment Analysi'!I9</f>
        <v>0.14118293784750402</v>
      </c>
      <c r="J5" s="55"/>
      <c r="K5" s="56">
        <f>IFERROR(AVERAGE(E5:I5),0)</f>
        <v>0.16443269069605057</v>
      </c>
      <c r="L5" s="56">
        <f>IFERROR(MEDIAN(D5:I5),0)</f>
        <v>0.14496426439775711</v>
      </c>
    </row>
    <row r="6" spans="2:12" x14ac:dyDescent="0.3">
      <c r="B6" s="51" t="s">
        <v>115</v>
      </c>
      <c r="C6" s="51"/>
      <c r="D6" s="51"/>
      <c r="E6" s="57">
        <f>IFERROR('Financial Statment Analysi'!E20/'Financial Statment Analysi'!D20-1,0)</f>
        <v>-0.18308755823701617</v>
      </c>
      <c r="F6" s="57">
        <f>IFERROR('Financial Statment Analysi'!F20/'Financial Statment Analysi'!E20-1,0)</f>
        <v>0.22113804725133623</v>
      </c>
      <c r="G6" s="57">
        <f>IFERROR('Financial Statment Analysi'!G20/'Financial Statment Analysi'!F20-1,0)</f>
        <v>0.58236933829911353</v>
      </c>
      <c r="H6" s="57">
        <f>IFERROR('Financial Statment Analysi'!H20/'Financial Statment Analysi'!G20-1,0)</f>
        <v>0.25644857968726309</v>
      </c>
      <c r="I6" s="57">
        <f>IFERROR('Financial Statment Analysi'!I20/'Financial Statment Analysi'!H20-1,0)</f>
        <v>9.0821528305504273E-2</v>
      </c>
      <c r="J6" s="51"/>
      <c r="K6" s="57">
        <f t="shared" ref="K6:K9" si="0">IFERROR(AVERAGE(E6:I6),0)</f>
        <v>0.1935379870612402</v>
      </c>
      <c r="L6" s="57">
        <f t="shared" ref="L6:L9" si="1">IFERROR(MEDIAN(D6:I6),0)</f>
        <v>0.22113804725133623</v>
      </c>
    </row>
    <row r="7" spans="2:12" x14ac:dyDescent="0.3">
      <c r="B7" s="51" t="s">
        <v>116</v>
      </c>
      <c r="C7" s="51"/>
      <c r="D7" s="51"/>
      <c r="E7" s="57">
        <f>IFERROR('Financial Statment Analysi'!E29/'Financial Statment Analysi'!D29-1,0)</f>
        <v>-0.26167060315180635</v>
      </c>
      <c r="F7" s="57">
        <f>IFERROR('Financial Statment Analysi'!F29/'Financial Statment Analysi'!E29-1,0)</f>
        <v>0.29695680255309465</v>
      </c>
      <c r="G7" s="57">
        <f>IFERROR('Financial Statment Analysi'!G29/'Financial Statment Analysi'!F29-1,0)</f>
        <v>0.69404051884747453</v>
      </c>
      <c r="H7" s="57">
        <f>IFERROR('Financial Statment Analysi'!H29/'Financial Statment Analysi'!G29-1,0)</f>
        <v>0.27300803392022677</v>
      </c>
      <c r="I7" s="57">
        <f>IFERROR('Financial Statment Analysi'!I29/'Financial Statment Analysi'!H29-1,0)</f>
        <v>7.0094460850500973E-2</v>
      </c>
      <c r="J7" s="51"/>
      <c r="K7" s="57">
        <f t="shared" si="0"/>
        <v>0.21448584260389811</v>
      </c>
      <c r="L7" s="57">
        <f t="shared" si="1"/>
        <v>0.27300803392022677</v>
      </c>
    </row>
    <row r="8" spans="2:12" x14ac:dyDescent="0.3">
      <c r="B8" s="51" t="s">
        <v>117</v>
      </c>
      <c r="C8" s="51"/>
      <c r="D8" s="51"/>
      <c r="E8" s="57">
        <f>IFERROR('Financial Statment Analysi'!E35/'Financial Statment Analysi'!D35-1,0)</f>
        <v>-0.31112651591209717</v>
      </c>
      <c r="F8" s="57">
        <f>IFERROR('Financial Statment Analysi'!F35/'Financial Statment Analysi'!E35-1,0)</f>
        <v>0.36597073622115595</v>
      </c>
      <c r="G8" s="57">
        <f>IFERROR('Financial Statment Analysi'!G35/'Financial Statment Analysi'!F35-1,0)</f>
        <v>0.6984631017401246</v>
      </c>
      <c r="H8" s="57">
        <f>IFERROR('Financial Statment Analysi'!H35/'Financial Statment Analysi'!G35-1,0)</f>
        <v>0.23635457174194663</v>
      </c>
      <c r="I8" s="57">
        <f>IFERROR('Financial Statment Analysi'!I35/'Financial Statment Analysi'!H35-1,0)</f>
        <v>0.10500104843782787</v>
      </c>
      <c r="J8" s="51"/>
      <c r="K8" s="57">
        <f t="shared" si="0"/>
        <v>0.21893258844579161</v>
      </c>
      <c r="L8" s="57">
        <f t="shared" si="1"/>
        <v>0.23635457174194663</v>
      </c>
    </row>
    <row r="9" spans="2:12" x14ac:dyDescent="0.3">
      <c r="B9" s="58" t="s">
        <v>118</v>
      </c>
      <c r="C9" s="58"/>
      <c r="D9" s="58"/>
      <c r="E9" s="59">
        <f>IFERROR('Financial Statment Analysi'!E43/'Financial Statment Analysi'!D43-1,0)</f>
        <v>0.36049816849816851</v>
      </c>
      <c r="F9" s="59">
        <f>IFERROR('Financial Statment Analysi'!F43/'Financial Statment Analysi'!E43-1,0)</f>
        <v>0.23529411764705888</v>
      </c>
      <c r="G9" s="59">
        <f>IFERROR('Financial Statment Analysi'!G43/'Financial Statment Analysi'!F43-1,0)</f>
        <v>0.76190476190476186</v>
      </c>
      <c r="H9" s="59">
        <f>IFERROR('Financial Statment Analysi'!H43/'Financial Statment Analysi'!G43-1,0)</f>
        <v>0.37837837837837851</v>
      </c>
      <c r="I9" s="59">
        <f>IFERROR('Financial Statment Analysi'!I43/'Financial Statment Analysi'!H43-1,0)</f>
        <v>0.37254901960784292</v>
      </c>
      <c r="J9" s="58"/>
      <c r="K9" s="59">
        <f t="shared" si="0"/>
        <v>0.4217248892072421</v>
      </c>
      <c r="L9" s="59">
        <f t="shared" si="1"/>
        <v>0.37254901960784292</v>
      </c>
    </row>
    <row r="11" spans="2:12" s="51" customFormat="1" x14ac:dyDescent="0.3">
      <c r="B11" s="55" t="s">
        <v>119</v>
      </c>
      <c r="C11" s="55"/>
      <c r="D11" s="60">
        <f>IFERROR('Financial Statment Analysi'!D15,0)</f>
        <v>0.33207663012722899</v>
      </c>
      <c r="E11" s="60">
        <f>IFERROR('Financial Statment Analysi'!E15,0)</f>
        <v>0.28202308393585118</v>
      </c>
      <c r="F11" s="60">
        <f>IFERROR('Financial Statment Analysi'!F15,0)</f>
        <v>0.30394073314474995</v>
      </c>
      <c r="G11" s="60">
        <f>IFERROR('Financial Statment Analysi'!G15,0)</f>
        <v>0.32905558579106481</v>
      </c>
      <c r="H11" s="60">
        <f>IFERROR('Financial Statment Analysi'!H15,0)</f>
        <v>0.35285907287107099</v>
      </c>
      <c r="I11" s="60">
        <f>IFERROR('Financial Statment Analysi'!I15,0)</f>
        <v>0.35130455979883779</v>
      </c>
      <c r="J11" s="55"/>
      <c r="K11" s="56">
        <f>IFERROR(AVERAGE(D11:I11),0)</f>
        <v>0.32520994427813393</v>
      </c>
      <c r="L11" s="56">
        <f>IFERROR(MEDIAN(D11:I11),0)</f>
        <v>0.33056610795914687</v>
      </c>
    </row>
    <row r="12" spans="2:12" s="51" customFormat="1" x14ac:dyDescent="0.3">
      <c r="B12" s="51" t="s">
        <v>120</v>
      </c>
      <c r="D12" s="52">
        <f>IFERROR('Financial Statment Analysi'!D21,0)</f>
        <v>0.23847390856910633</v>
      </c>
      <c r="E12" s="52">
        <f>IFERROR('Financial Statment Analysi'!E21,0)</f>
        <v>0.20449064544427689</v>
      </c>
      <c r="F12" s="52">
        <f>IFERROR('Financial Statment Analysi'!F21,0)</f>
        <v>0.21145911323065153</v>
      </c>
      <c r="G12" s="52">
        <f>IFERROR('Financial Statment Analysi'!G21,0)</f>
        <v>0.23858724929338926</v>
      </c>
      <c r="H12" s="52">
        <f>IFERROR('Financial Statment Analysi'!H21,0)</f>
        <v>0.26181831156437724</v>
      </c>
      <c r="I12" s="52">
        <f>IFERROR('Financial Statment Analysi'!I21,0)</f>
        <v>0.25026403855784329</v>
      </c>
      <c r="K12" s="57">
        <f t="shared" ref="K12:K14" si="2">IFERROR(AVERAGE(D12:I12),0)</f>
        <v>0.23418221110994075</v>
      </c>
      <c r="L12" s="57">
        <f t="shared" ref="L12:L15" si="3">IFERROR(MEDIAN(D12:I12),0)</f>
        <v>0.23853057893124779</v>
      </c>
    </row>
    <row r="13" spans="2:12" x14ac:dyDescent="0.3">
      <c r="B13" s="51" t="s">
        <v>121</v>
      </c>
      <c r="C13" s="51"/>
      <c r="D13" s="57">
        <f>IFERROR(('Financial Statment Analysi'!D20-'Financial Statment Analysi'!D26)/'Financial Statment Analysi'!D8,0)</f>
        <v>0.19679185630103199</v>
      </c>
      <c r="E13" s="57">
        <f>IFERROR(('Financial Statment Analysi'!E20-'Financial Statment Analysi'!E26)/'Financial Statment Analysi'!E8,0)</f>
        <v>0.15280349985952399</v>
      </c>
      <c r="F13" s="57">
        <f>IFERROR(('Financial Statment Analysi'!F20-'Financial Statment Analysi'!F26)/'Financial Statment Analysi'!F8,0)</f>
        <v>0.16757316832769623</v>
      </c>
      <c r="G13" s="57">
        <f>IFERROR(('Financial Statment Analysi'!G20-'Financial Statment Analysi'!G26)/'Financial Statment Analysi'!G8,0)</f>
        <v>0.20215161422998471</v>
      </c>
      <c r="H13" s="57">
        <f>IFERROR(('Financial Statment Analysi'!H20-'Financial Statment Analysi'!H26)/'Financial Statment Analysi'!H8,0)</f>
        <v>0.2256784983835052</v>
      </c>
      <c r="I13" s="57">
        <f>IFERROR(('Financial Statment Analysi'!I20-'Financial Statment Analysi'!I26)/'Financial Statment Analysi'!I8,0)</f>
        <v>0.21161451695384551</v>
      </c>
      <c r="J13" s="51"/>
      <c r="K13" s="57">
        <f t="shared" si="2"/>
        <v>0.19276885900926463</v>
      </c>
      <c r="L13" s="57">
        <f t="shared" si="3"/>
        <v>0.19947173526550835</v>
      </c>
    </row>
    <row r="14" spans="2:12" x14ac:dyDescent="0.3">
      <c r="B14" s="51" t="s">
        <v>139</v>
      </c>
      <c r="C14" s="51"/>
      <c r="D14" s="57">
        <f>IFERROR('Financial Statment Analysi'!D30,0)</f>
        <v>0.19472927532178669</v>
      </c>
      <c r="E14" s="57">
        <f>IFERROR('Financial Statment Analysi'!E30,0)</f>
        <v>0.15091710768489797</v>
      </c>
      <c r="F14" s="57">
        <f>IFERROR('Financial Statment Analysi'!F30,0)</f>
        <v>0.16574948314353607</v>
      </c>
      <c r="G14" s="57">
        <f>IFERROR('Financial Statment Analysi'!G30,0)</f>
        <v>0.20021146392026692</v>
      </c>
      <c r="H14" s="57">
        <f>IFERROR('Financial Statment Analysi'!H30,0)</f>
        <v>0.22260153436971206</v>
      </c>
      <c r="I14" s="57">
        <f>IFERROR('Financial Statment Analysi'!I30,0)</f>
        <v>0.20873486713282999</v>
      </c>
      <c r="J14" s="51"/>
      <c r="K14" s="57">
        <f t="shared" si="2"/>
        <v>0.19049062192883828</v>
      </c>
      <c r="L14" s="57">
        <f t="shared" si="3"/>
        <v>0.19747036962102682</v>
      </c>
    </row>
    <row r="15" spans="2:12" x14ac:dyDescent="0.3">
      <c r="B15" s="58" t="s">
        <v>122</v>
      </c>
      <c r="C15" s="58"/>
      <c r="D15" s="59">
        <f>IFERROR('Financial Statment Analysi'!D36,0)</f>
        <v>0.13710701168286071</v>
      </c>
      <c r="E15" s="59">
        <f>IFERROR('Financial Statment Analysi'!E36,0)</f>
        <v>9.9141662891971072E-2</v>
      </c>
      <c r="F15" s="59">
        <f>IFERROR('Financial Statment Analysi'!F36,0)</f>
        <v>0.11467950043844191</v>
      </c>
      <c r="G15" s="59">
        <f>IFERROR('Financial Statment Analysi'!G36,0)</f>
        <v>0.1388848497941447</v>
      </c>
      <c r="H15" s="59">
        <f>IFERROR('Financial Statment Analysi'!H36,0)</f>
        <v>0.14997054871315399</v>
      </c>
      <c r="I15" s="59">
        <f>IFERROR('Financial Statment Analysi'!I36,0)</f>
        <v>0.14521564252915276</v>
      </c>
      <c r="J15" s="58"/>
      <c r="K15" s="59">
        <f>IFERROR(AVERAGE(D15:I15),0)</f>
        <v>0.13083320267495419</v>
      </c>
      <c r="L15" s="59">
        <f t="shared" si="3"/>
        <v>0.13799593073850269</v>
      </c>
    </row>
    <row r="16" spans="2:12" x14ac:dyDescent="0.3">
      <c r="J16" s="51"/>
    </row>
    <row r="17" spans="2:12" x14ac:dyDescent="0.3">
      <c r="B17" s="55" t="s">
        <v>123</v>
      </c>
      <c r="C17" s="55"/>
      <c r="D17" s="56">
        <f>IFERROR('Financial Statment Analysi'!D18,0)</f>
        <v>9.3602721558122604E-2</v>
      </c>
      <c r="E17" s="56">
        <f>IFERROR('Financial Statment Analysi'!E18,0)</f>
        <v>7.7532438491574304E-2</v>
      </c>
      <c r="F17" s="56">
        <f>IFERROR('Financial Statment Analysi'!F18,0)</f>
        <v>9.2481619914098409E-2</v>
      </c>
      <c r="G17" s="56">
        <f>IFERROR('Financial Statment Analysi'!G18,0)</f>
        <v>9.046833649767555E-2</v>
      </c>
      <c r="H17" s="56">
        <f>IFERROR('Financial Statment Analysi'!H18,0)</f>
        <v>9.1040761306693738E-2</v>
      </c>
      <c r="I17" s="56">
        <f>IFERROR('Financial Statment Analysi'!I18,0)</f>
        <v>0.10104052124099448</v>
      </c>
      <c r="J17" s="55"/>
      <c r="K17" s="56">
        <f>IFERROR(AVERAGE(D17:I17),0)</f>
        <v>9.1027733168193181E-2</v>
      </c>
      <c r="L17" s="56">
        <f>IFERROR(MEDIAN(D17:I17),0)</f>
        <v>9.1761190610396073E-2</v>
      </c>
    </row>
    <row r="18" spans="2:12" x14ac:dyDescent="0.3">
      <c r="B18" s="51" t="s">
        <v>68</v>
      </c>
      <c r="C18" s="51"/>
      <c r="D18" s="57">
        <f>IFERROR('Financial Statment Analysi'!D27,0)</f>
        <v>4.1682052268074352E-2</v>
      </c>
      <c r="E18" s="57">
        <f>IFERROR('Financial Statment Analysi'!E27,0)</f>
        <v>5.1687145584752903E-2</v>
      </c>
      <c r="F18" s="57">
        <f>IFERROR('Financial Statment Analysi'!F27,0)</f>
        <v>4.3885944902955283E-2</v>
      </c>
      <c r="G18" s="57">
        <f>IFERROR('Financial Statment Analysi'!G27,0)</f>
        <v>3.643563506340456E-2</v>
      </c>
      <c r="H18" s="57">
        <f>IFERROR('Financial Statment Analysi'!H27,0)</f>
        <v>3.6139813180872025E-2</v>
      </c>
      <c r="I18" s="57">
        <f>IFERROR('Financial Statment Analysi'!I27,0)</f>
        <v>3.8649521603997809E-2</v>
      </c>
      <c r="J18" s="51"/>
      <c r="K18" s="57">
        <f t="shared" ref="K18:K19" si="4">IFERROR(AVERAGE(D18:I18),0)</f>
        <v>4.1413352100676155E-2</v>
      </c>
      <c r="L18" s="57">
        <f t="shared" ref="L18:L21" si="5">IFERROR(MEDIAN(D18:I18),0)</f>
        <v>4.0165786936036077E-2</v>
      </c>
    </row>
    <row r="19" spans="2:12" x14ac:dyDescent="0.3">
      <c r="B19" s="58" t="s">
        <v>140</v>
      </c>
      <c r="C19" s="58"/>
      <c r="D19" s="59">
        <f>D13</f>
        <v>0.19679185630103199</v>
      </c>
      <c r="E19" s="59">
        <f t="shared" ref="E19:I19" si="6">E13</f>
        <v>0.15280349985952399</v>
      </c>
      <c r="F19" s="59">
        <f t="shared" si="6"/>
        <v>0.16757316832769623</v>
      </c>
      <c r="G19" s="59">
        <f t="shared" si="6"/>
        <v>0.20215161422998471</v>
      </c>
      <c r="H19" s="59">
        <f t="shared" si="6"/>
        <v>0.2256784983835052</v>
      </c>
      <c r="I19" s="59">
        <f t="shared" si="6"/>
        <v>0.21161451695384551</v>
      </c>
      <c r="J19" s="58"/>
      <c r="K19" s="59">
        <f t="shared" si="4"/>
        <v>0.19276885900926463</v>
      </c>
      <c r="L19" s="59">
        <f t="shared" si="5"/>
        <v>0.19947173526550835</v>
      </c>
    </row>
    <row r="20" spans="2:12" x14ac:dyDescent="0.3">
      <c r="J20" s="51"/>
    </row>
    <row r="21" spans="2:12" x14ac:dyDescent="0.3">
      <c r="B21" s="55" t="s">
        <v>124</v>
      </c>
      <c r="C21" s="55"/>
      <c r="D21" s="56">
        <f>IFERROR(('Financial Statment Analysi'!D20-'Financial Statment Analysi'!D26)/(SUM('Financial Statment Analysi'!D51:D53)),0)</f>
        <v>0.17608624887951341</v>
      </c>
      <c r="E21" s="56">
        <f>('Financial Statment Analysi'!E20-'Financial Statment Analysi'!E26)/(SUM('Financial Statment Analysi'!E51:E53))</f>
        <v>0.11430576298346191</v>
      </c>
      <c r="F21" s="56">
        <f>('Financial Statment Analysi'!F20-'Financial Statment Analysi'!F26)/(SUM('Financial Statment Analysi'!F51:F53))</f>
        <v>0.13570929189168363</v>
      </c>
      <c r="G21" s="56">
        <f>('Financial Statment Analysi'!G20-'Financial Statment Analysi'!G26)/(SUM('Financial Statment Analysi'!G51:G53))</f>
        <v>0.1910837905605782</v>
      </c>
      <c r="H21" s="56">
        <f>('Financial Statment Analysi'!H20-'Financial Statment Analysi'!H26)/(SUM('Financial Statment Analysi'!H51:H53))</f>
        <v>0.2020999763335655</v>
      </c>
      <c r="I21" s="56">
        <f>('Financial Statment Analysi'!I20-'Financial Statment Analysi'!I26)/(SUM('Financial Statment Analysi'!I51:I53))</f>
        <v>0.183558251074944</v>
      </c>
      <c r="J21" s="55"/>
      <c r="K21" s="56">
        <f>IFERROR(AVERAGE(D21:I21),0)</f>
        <v>0.16714055362062444</v>
      </c>
      <c r="L21" s="56">
        <f>IFERROR(MEDIAN(D21:I21),0)</f>
        <v>0.1798222499772287</v>
      </c>
    </row>
    <row r="22" spans="2:12" x14ac:dyDescent="0.3">
      <c r="B22" s="51" t="s">
        <v>125</v>
      </c>
      <c r="C22" s="51"/>
      <c r="D22" s="57">
        <f>IFERROR('Financial Statment Analysi'!D46,0)</f>
        <v>0.72809198259788688</v>
      </c>
      <c r="E22" s="57">
        <f>IFERROR('Financial Statment Analysi'!E46,0)</f>
        <v>0.46259903996298657</v>
      </c>
      <c r="F22" s="57">
        <f>IFERROR('Financial Statment Analysi'!F46,0)</f>
        <v>0.51383208433887984</v>
      </c>
      <c r="G22" s="57">
        <f>IFERROR('Financial Statment Analysi'!G46,0)</f>
        <v>0.49548808455479132</v>
      </c>
      <c r="H22" s="57">
        <f>IFERROR('Financial Statment Analysi'!H46,0)</f>
        <v>0.43691630240172852</v>
      </c>
      <c r="I22" s="57">
        <f>IFERROR('Financial Statment Analysi'!I46,0)</f>
        <v>0.29955807274465596</v>
      </c>
      <c r="J22" s="51"/>
      <c r="K22" s="57">
        <f t="shared" ref="K22:K31" si="7">IFERROR(AVERAGE(D22:I22),0)</f>
        <v>0.48941426110015485</v>
      </c>
      <c r="L22" s="57">
        <f t="shared" ref="L22:L25" si="8">IFERROR(MEDIAN(D22:I22),0)</f>
        <v>0.47904356225888894</v>
      </c>
    </row>
    <row r="23" spans="2:12" x14ac:dyDescent="0.3">
      <c r="B23" s="51" t="s">
        <v>126</v>
      </c>
      <c r="C23" s="51"/>
      <c r="D23" s="57">
        <f>IFERROR('Financial Statment Analysi'!D35/SUM('Financial Statment Analysi'!D51:D52),0)</f>
        <v>0.12574178959275342</v>
      </c>
      <c r="E23" s="57">
        <f>IFERROR('Financial Statment Analysi'!E35/SUM('Financial Statment Analysi'!E51:E52),0)</f>
        <v>7.5585238081915848E-2</v>
      </c>
      <c r="F23" s="57">
        <f>IFERROR('Financial Statment Analysi'!F35/SUM('Financial Statment Analysi'!F51:F52),0)</f>
        <v>9.3666719543147231E-2</v>
      </c>
      <c r="G23" s="57">
        <f>IFERROR('Financial Statment Analysi'!G35/SUM('Financial Statment Analysi'!G51:G52),0)</f>
        <v>0.13380670674597142</v>
      </c>
      <c r="H23" s="57">
        <f>IFERROR('Financial Statment Analysi'!H35/SUM('Financial Statment Analysi'!H51:H52),0)</f>
        <v>0.13742350598735514</v>
      </c>
      <c r="I23" s="57">
        <f>IFERROR('Financial Statment Analysi'!I35/SUM('Financial Statment Analysi'!I51:I52),0)</f>
        <v>0.12867237746689703</v>
      </c>
      <c r="J23" s="51"/>
      <c r="K23" s="57">
        <f t="shared" si="7"/>
        <v>0.11581605623633999</v>
      </c>
      <c r="L23" s="57">
        <f t="shared" si="8"/>
        <v>0.12720708352982524</v>
      </c>
    </row>
    <row r="24" spans="2:12" x14ac:dyDescent="0.3">
      <c r="B24" s="51" t="s">
        <v>127</v>
      </c>
      <c r="C24" s="51"/>
      <c r="D24" s="57">
        <f>IFERROR(D23*D22,0)</f>
        <v>9.1551588879994178E-2</v>
      </c>
      <c r="E24" s="57">
        <f t="shared" ref="E24:I24" si="9">IFERROR(E23*E22,0)</f>
        <v>3.4965658572068042E-2</v>
      </c>
      <c r="F24" s="57">
        <f t="shared" si="9"/>
        <v>4.8128965736040634E-2</v>
      </c>
      <c r="G24" s="57">
        <f t="shared" si="9"/>
        <v>6.6299628826146054E-2</v>
      </c>
      <c r="H24" s="57">
        <f t="shared" si="9"/>
        <v>6.0042570099077007E-2</v>
      </c>
      <c r="I24" s="57">
        <f t="shared" si="9"/>
        <v>3.8544849409456572E-2</v>
      </c>
      <c r="J24" s="51"/>
      <c r="K24" s="57">
        <f t="shared" si="7"/>
        <v>5.6588876920463743E-2</v>
      </c>
      <c r="L24" s="57">
        <f t="shared" si="8"/>
        <v>5.408576791755882E-2</v>
      </c>
    </row>
    <row r="25" spans="2:12" x14ac:dyDescent="0.3">
      <c r="B25" s="58" t="s">
        <v>128</v>
      </c>
      <c r="C25" s="58"/>
      <c r="D25" s="61">
        <f>('Financial Statment Analysi'!D20-'Financial Statment Analysi'!D26)/'Financial Statment Analysi'!D23</f>
        <v>95.410487288135613</v>
      </c>
      <c r="E25" s="61">
        <f>('Financial Statment Analysi'!E20-'Financial Statment Analysi'!E26)/'Financial Statment Analysi'!E23</f>
        <v>81.00303951367782</v>
      </c>
      <c r="F25" s="61">
        <f>('Financial Statment Analysi'!F20-'Financial Statment Analysi'!F26)/'Financial Statment Analysi'!F23</f>
        <v>91.887113951011713</v>
      </c>
      <c r="G25" s="61">
        <f>('Financial Statment Analysi'!G20-'Financial Statment Analysi'!G26)/'Financial Statment Analysi'!G23</f>
        <v>104.19379014989296</v>
      </c>
      <c r="H25" s="61">
        <f>('Financial Statment Analysi'!H20-'Financial Statment Analysi'!H26)/'Financial Statment Analysi'!H23</f>
        <v>73.344536163521951</v>
      </c>
      <c r="I25" s="61">
        <f>('Financial Statment Analysi'!I20-'Financial Statment Analysi'!I26)/'Financial Statment Analysi'!I23</f>
        <v>73.486198012513753</v>
      </c>
      <c r="J25" s="58"/>
      <c r="K25" s="61">
        <f t="shared" si="7"/>
        <v>86.554194179792304</v>
      </c>
      <c r="L25" s="61">
        <f t="shared" si="8"/>
        <v>86.445076732344774</v>
      </c>
    </row>
    <row r="26" spans="2:12" x14ac:dyDescent="0.3">
      <c r="J26" s="51"/>
    </row>
    <row r="27" spans="2:12" x14ac:dyDescent="0.3">
      <c r="B27" s="55" t="s">
        <v>129</v>
      </c>
      <c r="C27" s="55"/>
      <c r="D27" s="62">
        <f>IFERROR('Financial Statment Analysi'!D8/'Financial Statment Analysi'!D63,0)</f>
        <v>105.50461041954817</v>
      </c>
      <c r="E27" s="62">
        <f>IFERROR('Financial Statment Analysi'!E8/'Financial Statment Analysi'!E63,0)</f>
        <v>55.136254425897832</v>
      </c>
      <c r="F27" s="62">
        <f>IFERROR('Financial Statment Analysi'!F8/'Financial Statment Analysi'!F63,0)</f>
        <v>34.094259038537942</v>
      </c>
      <c r="G27" s="62">
        <f>IFERROR('Financial Statment Analysi'!G8/'Financial Statment Analysi'!G63,0)</f>
        <v>39.147186381871407</v>
      </c>
      <c r="H27" s="62">
        <f>IFERROR('Financial Statment Analysi'!H8/'Financial Statment Analysi'!H63,0)</f>
        <v>44.239338648402807</v>
      </c>
      <c r="I27" s="62">
        <f>IFERROR('Financial Statment Analysi'!I8/'Financial Statment Analysi'!I63,0)</f>
        <v>34.332199257695947</v>
      </c>
      <c r="J27" s="55"/>
      <c r="K27" s="62">
        <f t="shared" si="7"/>
        <v>52.075641361992346</v>
      </c>
      <c r="L27" s="62">
        <f>IFERROR(MEDIAN(D27:I27),0)</f>
        <v>41.693262515137107</v>
      </c>
    </row>
    <row r="28" spans="2:12" x14ac:dyDescent="0.3">
      <c r="B28" s="51" t="s">
        <v>130</v>
      </c>
      <c r="C28" s="51"/>
      <c r="D28" s="63">
        <f>IFERROR('Financial Statment Analysi'!D8/'Financial Statment Analysi'!D54,0)</f>
        <v>4.123624306803797</v>
      </c>
      <c r="E28" s="63">
        <f>IFERROR('Financial Statment Analysi'!E8/'Financial Statment Analysi'!E54,0)</f>
        <v>3.0056905917388188</v>
      </c>
      <c r="F28" s="63">
        <f>IFERROR('Financial Statment Analysi'!F8/'Financial Statment Analysi'!F54,0)</f>
        <v>3.0074384075324465</v>
      </c>
      <c r="G28" s="63">
        <f>IFERROR('Financial Statment Analysi'!G8/'Financial Statment Analysi'!G54,0)</f>
        <v>3.6852167034537313</v>
      </c>
      <c r="H28" s="63">
        <f>IFERROR('Financial Statment Analysi'!H8/'Financial Statment Analysi'!H54,0)</f>
        <v>3.5559593648390591</v>
      </c>
      <c r="I28" s="63">
        <f>IFERROR('Financial Statment Analysi'!I8/'Financial Statment Analysi'!I54,0)</f>
        <v>3.4817492928692806</v>
      </c>
      <c r="J28" s="51"/>
      <c r="K28" s="63">
        <f t="shared" si="7"/>
        <v>3.4766131112061891</v>
      </c>
      <c r="L28" s="63">
        <f t="shared" ref="L28:L31" si="10">IFERROR(MEDIAN(D28:I28),0)</f>
        <v>3.5188543288541698</v>
      </c>
    </row>
    <row r="29" spans="2:12" x14ac:dyDescent="0.3">
      <c r="B29" s="51" t="s">
        <v>141</v>
      </c>
      <c r="C29" s="51"/>
      <c r="D29" s="63">
        <f>IFERROR('Financial Statment Analysi'!D8/'Financial Statment Analysi'!D64,0)</f>
        <v>15.992976325674849</v>
      </c>
      <c r="E29" s="63">
        <f>IFERROR('Financial Statment Analysi'!E8/'Financial Statment Analysi'!E64,0)</f>
        <v>9.9706723073404984</v>
      </c>
      <c r="F29" s="63">
        <f>IFERROR('Financial Statment Analysi'!F8/'Financial Statment Analysi'!F64,0)</f>
        <v>9.093809607912398</v>
      </c>
      <c r="G29" s="63">
        <f>IFERROR('Financial Statment Analysi'!G8/'Financial Statment Analysi'!G64,0)</f>
        <v>11.296721003723288</v>
      </c>
      <c r="H29" s="63">
        <f>IFERROR('Financial Statment Analysi'!H8/'Financial Statment Analysi'!H64,0)</f>
        <v>11.730498567010015</v>
      </c>
      <c r="I29" s="63">
        <f>IFERROR('Financial Statment Analysi'!I8/'Financial Statment Analysi'!I64,0)</f>
        <v>12.067370103916865</v>
      </c>
      <c r="J29" s="51"/>
      <c r="K29" s="63">
        <f t="shared" si="7"/>
        <v>11.692007985929655</v>
      </c>
      <c r="L29" s="63">
        <f t="shared" si="10"/>
        <v>11.513609785366651</v>
      </c>
    </row>
    <row r="30" spans="2:12" x14ac:dyDescent="0.3">
      <c r="B30" s="51" t="s">
        <v>142</v>
      </c>
      <c r="C30" s="51"/>
      <c r="D30" s="63">
        <f>IFERROR('Financial Statment Analysi'!D8/'Financial Statment Analysi'!D57,0)</f>
        <v>3.8500538376123017</v>
      </c>
      <c r="E30" s="63">
        <f>IFERROR('Financial Statment Analysi'!E8/'Financial Statment Analysi'!E57,0)</f>
        <v>3.583754571980438</v>
      </c>
      <c r="F30" s="63">
        <f>IFERROR('Financial Statment Analysi'!F8/'Financial Statment Analysi'!F57,0)</f>
        <v>4.2477890342699682</v>
      </c>
      <c r="G30" s="63">
        <f>IFERROR('Financial Statment Analysi'!G8/'Financial Statment Analysi'!G57,0)</f>
        <v>5.3688601072866451</v>
      </c>
      <c r="H30" s="63">
        <f>IFERROR('Financial Statment Analysi'!H8/'Financial Statment Analysi'!H57,0)</f>
        <v>5.6738585908495107</v>
      </c>
      <c r="I30" s="63">
        <f>IFERROR('Financial Statment Analysi'!I8/'Financial Statment Analysi'!I57,0)</f>
        <v>5.4327085018727672</v>
      </c>
      <c r="J30" s="51"/>
      <c r="K30" s="63">
        <f t="shared" si="7"/>
        <v>4.6928374406452713</v>
      </c>
      <c r="L30" s="63">
        <f t="shared" si="10"/>
        <v>4.8083245707783071</v>
      </c>
    </row>
    <row r="31" spans="2:12" x14ac:dyDescent="0.3">
      <c r="B31" s="58" t="s">
        <v>131</v>
      </c>
      <c r="C31" s="58"/>
      <c r="D31" s="61">
        <f>IFERROR('Financial Statment Analysi'!D8/SUM('Financial Statment Analysi'!D51:D52),0)</f>
        <v>0.91710692290197415</v>
      </c>
      <c r="E31" s="61">
        <f>IFERROR('Financial Statment Analysi'!E8/SUM('Financial Statment Analysi'!E51:E52),0)</f>
        <v>0.76239631126902419</v>
      </c>
      <c r="F31" s="61">
        <f>IFERROR('Financial Statment Analysi'!F8/SUM('Financial Statment Analysi'!F51:F52),0)</f>
        <v>0.81676951142131982</v>
      </c>
      <c r="G31" s="61">
        <f>IFERROR('Financial Statment Analysi'!G8/SUM('Financial Statment Analysi'!G51:G52),0)</f>
        <v>0.96343630672675895</v>
      </c>
      <c r="H31" s="61">
        <f>IFERROR('Financial Statment Analysi'!H8/SUM('Financial Statment Analysi'!H51:H52),0)</f>
        <v>0.91633662186702169</v>
      </c>
      <c r="I31" s="61">
        <f>IFERROR('Financial Statment Analysi'!I8/SUM('Financial Statment Analysi'!I51:I52),0)</f>
        <v>0.88607794054325384</v>
      </c>
      <c r="J31" s="58"/>
      <c r="K31" s="61">
        <f t="shared" si="7"/>
        <v>0.87702060245489211</v>
      </c>
      <c r="L31" s="61">
        <f t="shared" si="10"/>
        <v>0.90120728120513771</v>
      </c>
    </row>
    <row r="32" spans="2:12" x14ac:dyDescent="0.3">
      <c r="D32" s="53"/>
      <c r="E32" s="53"/>
      <c r="F32" s="53"/>
      <c r="G32" s="53"/>
      <c r="H32" s="53"/>
      <c r="I32" s="53"/>
      <c r="J32" s="51"/>
    </row>
    <row r="33" spans="2:13" x14ac:dyDescent="0.3">
      <c r="B33" s="54" t="s">
        <v>143</v>
      </c>
      <c r="J33" s="51"/>
    </row>
    <row r="34" spans="2:13" x14ac:dyDescent="0.3">
      <c r="B34" s="55" t="s">
        <v>132</v>
      </c>
      <c r="C34" s="55"/>
      <c r="D34" s="64">
        <f>IFERROR(365/D27,0)</f>
        <v>3.4595644545631328</v>
      </c>
      <c r="E34" s="64">
        <f t="shared" ref="E34:I34" si="11">IFERROR(365/E27,0)</f>
        <v>6.6199636482480626</v>
      </c>
      <c r="F34" s="64">
        <f t="shared" si="11"/>
        <v>10.705614678043821</v>
      </c>
      <c r="G34" s="64">
        <f t="shared" si="11"/>
        <v>9.3237862981904396</v>
      </c>
      <c r="H34" s="64">
        <f t="shared" si="11"/>
        <v>8.2505754188795439</v>
      </c>
      <c r="I34" s="64">
        <f t="shared" si="11"/>
        <v>10.6314191310707</v>
      </c>
      <c r="J34" s="55"/>
      <c r="K34" s="64">
        <f t="shared" ref="K34:K37" si="12">IFERROR(AVERAGE(D34:I34),0)</f>
        <v>8.1651539381659504</v>
      </c>
      <c r="L34" s="64">
        <f t="shared" ref="L34:L37" si="13">IFERROR(MEDIAN(D34:I34),0)</f>
        <v>8.7871808585349918</v>
      </c>
    </row>
    <row r="35" spans="2:13" x14ac:dyDescent="0.3">
      <c r="B35" s="51" t="s">
        <v>133</v>
      </c>
      <c r="C35" s="51"/>
      <c r="D35" s="65">
        <f>IFERROR(365/D28,0)</f>
        <v>88.514368148855411</v>
      </c>
      <c r="E35" s="65">
        <f t="shared" ref="E35:I35" si="14">IFERROR(365/E28,0)</f>
        <v>121.43631849639063</v>
      </c>
      <c r="F35" s="65">
        <f t="shared" si="14"/>
        <v>121.36574404510463</v>
      </c>
      <c r="G35" s="65">
        <f t="shared" si="14"/>
        <v>99.044379034190129</v>
      </c>
      <c r="H35" s="65">
        <f t="shared" si="14"/>
        <v>102.64459251393041</v>
      </c>
      <c r="I35" s="65">
        <f t="shared" si="14"/>
        <v>104.83236134994847</v>
      </c>
      <c r="J35" s="51"/>
      <c r="K35" s="65">
        <f t="shared" si="12"/>
        <v>106.30629393140327</v>
      </c>
      <c r="L35" s="65">
        <f t="shared" si="13"/>
        <v>103.73847693193943</v>
      </c>
      <c r="M35" t="s">
        <v>75</v>
      </c>
    </row>
    <row r="36" spans="2:13" x14ac:dyDescent="0.3">
      <c r="B36" s="51" t="s">
        <v>134</v>
      </c>
      <c r="C36" s="51"/>
      <c r="D36" s="65">
        <f>IFERROR(365/D29,0)</f>
        <v>22.822518621129657</v>
      </c>
      <c r="E36" s="65">
        <f t="shared" ref="E36:I36" si="15">IFERROR(365/E29,0)</f>
        <v>36.60736094308141</v>
      </c>
      <c r="F36" s="65">
        <f t="shared" si="15"/>
        <v>40.137193952512327</v>
      </c>
      <c r="G36" s="65">
        <f t="shared" si="15"/>
        <v>32.310260639321761</v>
      </c>
      <c r="H36" s="65">
        <f t="shared" si="15"/>
        <v>31.115472024905998</v>
      </c>
      <c r="I36" s="65">
        <f t="shared" si="15"/>
        <v>30.246855516723329</v>
      </c>
      <c r="J36" s="51"/>
      <c r="K36" s="65">
        <f t="shared" si="12"/>
        <v>32.206610282945746</v>
      </c>
      <c r="L36" s="65">
        <f t="shared" si="13"/>
        <v>31.71286633211388</v>
      </c>
    </row>
    <row r="37" spans="2:13" x14ac:dyDescent="0.3">
      <c r="B37" s="58" t="s">
        <v>135</v>
      </c>
      <c r="C37" s="58"/>
      <c r="D37" s="66">
        <f>IFERROR(SUM(D34,D36)-D35,0)</f>
        <v>-62.232285073162622</v>
      </c>
      <c r="E37" s="66">
        <f t="shared" ref="E37:I37" si="16">IFERROR(SUM(E34,E36)-E35,0)</f>
        <v>-78.208993905061163</v>
      </c>
      <c r="F37" s="66">
        <f t="shared" si="16"/>
        <v>-70.522935414548485</v>
      </c>
      <c r="G37" s="66">
        <f t="shared" si="16"/>
        <v>-57.410332096677926</v>
      </c>
      <c r="H37" s="66">
        <f t="shared" si="16"/>
        <v>-63.278545070144865</v>
      </c>
      <c r="I37" s="66">
        <f t="shared" si="16"/>
        <v>-63.954086702154441</v>
      </c>
      <c r="J37" s="58"/>
      <c r="K37" s="66">
        <f t="shared" si="12"/>
        <v>-65.934529710291571</v>
      </c>
      <c r="L37" s="66">
        <f t="shared" si="13"/>
        <v>-63.61631588614965</v>
      </c>
    </row>
    <row r="38" spans="2:13" s="51" customFormat="1" x14ac:dyDescent="0.3"/>
    <row r="39" spans="2:13" x14ac:dyDescent="0.3">
      <c r="B39" s="51"/>
      <c r="C39" s="51"/>
      <c r="D39" s="51"/>
      <c r="E39" s="51"/>
      <c r="F39" s="51"/>
      <c r="G39" s="51"/>
      <c r="H39" s="51"/>
      <c r="I39" s="51"/>
      <c r="J39" s="51"/>
    </row>
    <row r="40" spans="2:13" s="51" customFormat="1" x14ac:dyDescent="0.3">
      <c r="B40" s="55" t="s">
        <v>136</v>
      </c>
      <c r="C40" s="55"/>
      <c r="D40" s="56">
        <f>IFERROR('Financial Statment Analysi'!D75/'Financial Statment Analysi'!D8,0)</f>
        <v>0.18507731401265951</v>
      </c>
      <c r="E40" s="56">
        <f>IFERROR('Financial Statment Analysi'!E75/'Financial Statment Analysi'!E8,0)</f>
        <v>0.19391079486488499</v>
      </c>
      <c r="F40" s="56">
        <f>IFERROR('Financial Statment Analysi'!F75/'Financial Statment Analysi'!F8,0)</f>
        <v>0.14828755184344664</v>
      </c>
      <c r="G40" s="56">
        <f>IFERROR('Financial Statment Analysi'!G75/'Financial Statment Analysi'!G8,0)</f>
        <v>0.19544556292748047</v>
      </c>
      <c r="H40" s="56">
        <f>IFERROR('Financial Statment Analysi'!H75/'Financial Statment Analysi'!H8,0)</f>
        <v>0.22519107051496817</v>
      </c>
      <c r="I40" s="56">
        <f>IFERROR('Financial Statment Analysi'!I75/'Financial Statment Analysi'!I8,0)</f>
        <v>0.21090864769333903</v>
      </c>
      <c r="J40" s="55"/>
      <c r="K40" s="56">
        <f t="shared" ref="K40:K42" si="17">IFERROR(AVERAGE(D40:I40),0)</f>
        <v>0.1931368236427965</v>
      </c>
      <c r="L40" s="56">
        <f t="shared" ref="L40:L42" si="18">IFERROR(MEDIAN(D40:I40),0)</f>
        <v>0.19467817889618272</v>
      </c>
    </row>
    <row r="41" spans="2:13" x14ac:dyDescent="0.3">
      <c r="B41" s="51" t="s">
        <v>137</v>
      </c>
      <c r="C41" s="51"/>
      <c r="D41" s="57">
        <f>IFERROR('Financial Statment Analysi'!D75/'Financial Statment Analysi'!D68,0)</f>
        <v>0.13607695594760361</v>
      </c>
      <c r="E41" s="57">
        <f>IFERROR('Financial Statment Analysi'!E75/'Financial Statment Analysi'!E68,0)</f>
        <v>0.11614913786412301</v>
      </c>
      <c r="F41" s="57">
        <f>IFERROR('Financial Statment Analysi'!F75/'Financial Statment Analysi'!F68,0)</f>
        <v>9.4613140287103409E-2</v>
      </c>
      <c r="G41" s="57">
        <f>IFERROR('Financial Statment Analysi'!G75/'Financial Statment Analysi'!G68,0)</f>
        <v>0.14703161430259135</v>
      </c>
      <c r="H41" s="57">
        <f>IFERROR('Financial Statment Analysi'!H75/'Financial Statment Analysi'!H68,0)</f>
        <v>0.16109405398109378</v>
      </c>
      <c r="I41" s="57">
        <f>IFERROR('Financial Statment Analysi'!I75/'Financial Statment Analysi'!I68,0)</f>
        <v>0.146458377569191</v>
      </c>
      <c r="J41" s="51"/>
      <c r="K41" s="57">
        <f t="shared" si="17"/>
        <v>0.1335705466586177</v>
      </c>
      <c r="L41" s="57">
        <f t="shared" si="18"/>
        <v>0.1412676667583973</v>
      </c>
    </row>
    <row r="42" spans="2:13" x14ac:dyDescent="0.3">
      <c r="B42" s="58" t="s">
        <v>138</v>
      </c>
      <c r="C42" s="58"/>
      <c r="D42" s="59">
        <f>IFERROR('Financial Statment Analysi'!D75/'Financial Statment Analysi'!D53,0)</f>
        <v>6.8036947791164657</v>
      </c>
      <c r="E42" s="59">
        <f>IFERROR('Financial Statment Analysi'!E75/'Financial Statment Analysi'!E53,0)</f>
        <v>7.7125199543899656</v>
      </c>
      <c r="F42" s="59">
        <f>IFERROR('Financial Statment Analysi'!F75/'Financial Statment Analysi'!F53,0)</f>
        <v>14.177328010398293</v>
      </c>
      <c r="G42" s="59">
        <f>IFERROR('Financial Statment Analysi'!G75/'Financial Statment Analysi'!G53,0)</f>
        <v>9.7869699386290332</v>
      </c>
      <c r="H42" s="59">
        <f>IFERROR('Financial Statment Analysi'!H75/'Financial Statment Analysi'!H53,0)</f>
        <v>8.8778132748426479</v>
      </c>
      <c r="I42" s="59">
        <f>IFERROR('Financial Statment Analysi'!I75/'Financial Statment Analysi'!I53,0)</f>
        <v>8.6873158273852411</v>
      </c>
      <c r="J42" s="58"/>
      <c r="K42" s="59">
        <f t="shared" si="17"/>
        <v>9.3409402974602749</v>
      </c>
      <c r="L42" s="59">
        <f t="shared" si="18"/>
        <v>8.7825645511139445</v>
      </c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22896E6-18FE-42B4-BAFB-928A7EFD7C95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Analysis'!D11:I11</xm:f>
              <xm:sqref>J11</xm:sqref>
            </x14:sparkline>
            <x14:sparkline>
              <xm:f>'Ratio Analysis'!D12:I12</xm:f>
              <xm:sqref>J12</xm:sqref>
            </x14:sparkline>
            <x14:sparkline>
              <xm:f>'Ratio Analysis'!D13:I13</xm:f>
              <xm:sqref>J13</xm:sqref>
            </x14:sparkline>
            <x14:sparkline>
              <xm:f>'Ratio Analysis'!D14:I14</xm:f>
              <xm:sqref>J14</xm:sqref>
            </x14:sparkline>
            <x14:sparkline>
              <xm:f>'Ratio Analysis'!D15:I15</xm:f>
              <xm:sqref>J15</xm:sqref>
            </x14:sparkline>
            <x14:sparkline>
              <xm:f>'Ratio Analysis'!D16:I16</xm:f>
              <xm:sqref>J16</xm:sqref>
            </x14:sparkline>
            <x14:sparkline>
              <xm:f>'Ratio Analysis'!D17:I17</xm:f>
              <xm:sqref>J17</xm:sqref>
            </x14:sparkline>
            <x14:sparkline>
              <xm:f>'Ratio Analysis'!D18:I18</xm:f>
              <xm:sqref>J18</xm:sqref>
            </x14:sparkline>
            <x14:sparkline>
              <xm:f>'Ratio Analysis'!D19:I19</xm:f>
              <xm:sqref>J19</xm:sqref>
            </x14:sparkline>
            <x14:sparkline>
              <xm:f>'Ratio Analysis'!D20:I20</xm:f>
              <xm:sqref>J20</xm:sqref>
            </x14:sparkline>
            <x14:sparkline>
              <xm:f>'Ratio Analysis'!D21:I21</xm:f>
              <xm:sqref>J21</xm:sqref>
            </x14:sparkline>
            <x14:sparkline>
              <xm:f>'Ratio Analysis'!D22:I22</xm:f>
              <xm:sqref>J22</xm:sqref>
            </x14:sparkline>
            <x14:sparkline>
              <xm:f>'Ratio Analysis'!D23:I23</xm:f>
              <xm:sqref>J23</xm:sqref>
            </x14:sparkline>
            <x14:sparkline>
              <xm:f>'Ratio Analysis'!D24:I24</xm:f>
              <xm:sqref>J24</xm:sqref>
            </x14:sparkline>
            <x14:sparkline>
              <xm:f>'Ratio Analysis'!D25:I25</xm:f>
              <xm:sqref>J25</xm:sqref>
            </x14:sparkline>
            <x14:sparkline>
              <xm:f>'Ratio Analysis'!D26:I26</xm:f>
              <xm:sqref>J26</xm:sqref>
            </x14:sparkline>
            <x14:sparkline>
              <xm:f>'Ratio Analysis'!D27:I27</xm:f>
              <xm:sqref>J27</xm:sqref>
            </x14:sparkline>
            <x14:sparkline>
              <xm:f>'Ratio Analysis'!D28:I28</xm:f>
              <xm:sqref>J28</xm:sqref>
            </x14:sparkline>
            <x14:sparkline>
              <xm:f>'Ratio Analysis'!D29:I29</xm:f>
              <xm:sqref>J29</xm:sqref>
            </x14:sparkline>
            <x14:sparkline>
              <xm:f>'Ratio Analysis'!D30:I30</xm:f>
              <xm:sqref>J30</xm:sqref>
            </x14:sparkline>
            <x14:sparkline>
              <xm:f>'Ratio Analysis'!D31:I31</xm:f>
              <xm:sqref>J31</xm:sqref>
            </x14:sparkline>
            <x14:sparkline>
              <xm:f>'Ratio Analysis'!D32:I32</xm:f>
              <xm:sqref>J32</xm:sqref>
            </x14:sparkline>
            <x14:sparkline>
              <xm:f>'Ratio Analysis'!D33:I33</xm:f>
              <xm:sqref>J33</xm:sqref>
            </x14:sparkline>
            <x14:sparkline>
              <xm:f>'Ratio Analysis'!D34:I34</xm:f>
              <xm:sqref>J34</xm:sqref>
            </x14:sparkline>
            <x14:sparkline>
              <xm:f>'Ratio Analysis'!D35:I35</xm:f>
              <xm:sqref>J35</xm:sqref>
            </x14:sparkline>
            <x14:sparkline>
              <xm:f>'Ratio Analysis'!D36:I36</xm:f>
              <xm:sqref>J36</xm:sqref>
            </x14:sparkline>
            <x14:sparkline>
              <xm:f>'Ratio Analysis'!D37:I37</xm:f>
              <xm:sqref>J37</xm:sqref>
            </x14:sparkline>
            <x14:sparkline>
              <xm:f>'Ratio Analysis'!D38:I38</xm:f>
              <xm:sqref>J38</xm:sqref>
            </x14:sparkline>
            <x14:sparkline>
              <xm:f>'Ratio Analysis'!D39:I39</xm:f>
              <xm:sqref>J39</xm:sqref>
            </x14:sparkline>
            <x14:sparkline>
              <xm:f>'Ratio Analysis'!D40:I40</xm:f>
              <xm:sqref>J40</xm:sqref>
            </x14:sparkline>
            <x14:sparkline>
              <xm:f>'Ratio Analysis'!D41:I41</xm:f>
              <xm:sqref>J41</xm:sqref>
            </x14:sparkline>
            <x14:sparkline>
              <xm:f>'Ratio Analysis'!D42:I42</xm:f>
              <xm:sqref>J42</xm:sqref>
            </x14:sparkline>
          </x14:sparklines>
        </x14:sparklineGroup>
        <x14:sparklineGroup displayEmptyCellsAs="gap" markers="1" xr2:uid="{88D95769-3CD5-4AD4-8CB3-CB1B084DBE54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Analysis'!E5:I5</xm:f>
              <xm:sqref>J5</xm:sqref>
            </x14:sparkline>
            <x14:sparkline>
              <xm:f>'Ratio Analysis'!E6:I6</xm:f>
              <xm:sqref>J6</xm:sqref>
            </x14:sparkline>
            <x14:sparkline>
              <xm:f>'Ratio Analysis'!E7:I7</xm:f>
              <xm:sqref>J7</xm:sqref>
            </x14:sparkline>
            <x14:sparkline>
              <xm:f>'Ratio Analysis'!E8:I8</xm:f>
              <xm:sqref>J8</xm:sqref>
            </x14:sparkline>
            <x14:sparkline>
              <xm:f>'Ratio Analysis'!E9:I9</xm:f>
              <xm:sqref>J9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42D2-9BC0-4968-BDA6-8ADB8AEF06D8}">
  <sheetPr>
    <tabColor theme="8" tint="-0.499984740745262"/>
  </sheetPr>
  <dimension ref="A4:J107"/>
  <sheetViews>
    <sheetView showGridLines="0" tabSelected="1" topLeftCell="A4" zoomScale="68" zoomScaleNormal="68" workbookViewId="0">
      <pane xSplit="1" ySplit="2" topLeftCell="B6" activePane="bottomRight" state="frozen"/>
      <selection activeCell="A4" sqref="A4"/>
      <selection pane="topRight" activeCell="B4" sqref="B4"/>
      <selection pane="bottomLeft" activeCell="A6" sqref="A6"/>
      <selection pane="bottomRight" activeCell="T35" sqref="T35"/>
    </sheetView>
  </sheetViews>
  <sheetFormatPr defaultRowHeight="14.4" x14ac:dyDescent="0.3"/>
  <cols>
    <col min="1" max="1" width="1.88671875" customWidth="1"/>
    <col min="2" max="2" width="24.6640625" bestFit="1" customWidth="1"/>
    <col min="4" max="4" width="14.44140625" bestFit="1" customWidth="1"/>
    <col min="5" max="8" width="15.44140625" bestFit="1" customWidth="1"/>
    <col min="9" max="9" width="15.5546875" customWidth="1"/>
    <col min="10" max="10" width="15.33203125" customWidth="1"/>
  </cols>
  <sheetData>
    <row r="4" spans="1:10" ht="15" thickBot="1" x14ac:dyDescent="0.35">
      <c r="B4" s="47" t="str">
        <f>"Historical Financial Statement - "&amp;'Data Sheet'!B1</f>
        <v>Historical Financial Statement - EICHER MOTORS LTD</v>
      </c>
      <c r="C4" s="47"/>
      <c r="D4" s="47"/>
      <c r="E4" s="47"/>
      <c r="F4" s="47"/>
      <c r="G4" s="47"/>
      <c r="H4" s="47"/>
      <c r="I4" s="47"/>
      <c r="J4" s="47"/>
    </row>
    <row r="5" spans="1:10" x14ac:dyDescent="0.3">
      <c r="B5" s="8" t="s">
        <v>54</v>
      </c>
      <c r="C5" s="8"/>
      <c r="D5" s="9">
        <f>'Data Sheet'!F16</f>
        <v>43921</v>
      </c>
      <c r="E5" s="9">
        <f>'Data Sheet'!G16</f>
        <v>44286</v>
      </c>
      <c r="F5" s="9">
        <f>'Data Sheet'!H16</f>
        <v>44651</v>
      </c>
      <c r="G5" s="9">
        <f>'Data Sheet'!I16</f>
        <v>45016</v>
      </c>
      <c r="H5" s="9">
        <f>'Data Sheet'!J16</f>
        <v>45382</v>
      </c>
      <c r="I5" s="9">
        <f>'Data Sheet'!K16</f>
        <v>45747</v>
      </c>
      <c r="J5" s="10" t="s">
        <v>55</v>
      </c>
    </row>
    <row r="6" spans="1:10" s="21" customFormat="1" x14ac:dyDescent="0.3">
      <c r="B6" s="22"/>
      <c r="C6" s="22"/>
      <c r="D6" s="23"/>
      <c r="E6" s="23"/>
      <c r="F6" s="23"/>
      <c r="G6" s="23"/>
      <c r="H6" s="23"/>
      <c r="I6" s="23"/>
      <c r="J6" s="24"/>
    </row>
    <row r="7" spans="1:10" x14ac:dyDescent="0.3">
      <c r="A7" s="11" t="s">
        <v>56</v>
      </c>
      <c r="B7" s="19" t="s">
        <v>57</v>
      </c>
      <c r="C7" s="20"/>
      <c r="D7" s="20"/>
      <c r="E7" s="20"/>
      <c r="F7" s="20"/>
      <c r="G7" s="20"/>
      <c r="H7" s="20"/>
      <c r="I7" s="20"/>
      <c r="J7" s="20"/>
    </row>
    <row r="8" spans="1:10" x14ac:dyDescent="0.3">
      <c r="B8" t="s">
        <v>1</v>
      </c>
      <c r="D8" s="12">
        <f>IFERROR('Data Sheet'!F17,0)</f>
        <v>9153.58</v>
      </c>
      <c r="E8" s="12">
        <f>IFERROR('Data Sheet'!G17,0)</f>
        <v>8720.35</v>
      </c>
      <c r="F8" s="12">
        <f>IFERROR('Data Sheet'!H17,0)</f>
        <v>10297.83</v>
      </c>
      <c r="G8" s="12">
        <f>IFERROR('Data Sheet'!I17,0)</f>
        <v>14442.18</v>
      </c>
      <c r="H8" s="12">
        <f>IFERROR('Data Sheet'!J17,0)</f>
        <v>16535.78</v>
      </c>
      <c r="I8" s="12">
        <f>IFERROR('Data Sheet'!K17,0)</f>
        <v>18870.349999999999</v>
      </c>
      <c r="J8" s="12">
        <f>IFERROR(SUM('Data Sheet'!H42:K42),0)</f>
        <v>22568.58</v>
      </c>
    </row>
    <row r="9" spans="1:10" x14ac:dyDescent="0.3">
      <c r="B9" s="13" t="s">
        <v>58</v>
      </c>
      <c r="C9" s="13"/>
      <c r="D9" s="17" t="s">
        <v>59</v>
      </c>
      <c r="E9" s="18">
        <f>IFERROR(E8/D8-1,0)</f>
        <v>-4.732902318000165E-2</v>
      </c>
      <c r="F9" s="18">
        <f t="shared" ref="F9:J9" si="0">IFERROR(F8/E8-1,0)</f>
        <v>0.18089640897441028</v>
      </c>
      <c r="G9" s="18">
        <f t="shared" si="0"/>
        <v>0.40244886544058311</v>
      </c>
      <c r="H9" s="18">
        <f t="shared" si="0"/>
        <v>0.14496426439775711</v>
      </c>
      <c r="I9" s="18">
        <f t="shared" si="0"/>
        <v>0.14118293784750402</v>
      </c>
      <c r="J9" s="18">
        <f t="shared" si="0"/>
        <v>0.19598099664288182</v>
      </c>
    </row>
    <row r="11" spans="1:10" x14ac:dyDescent="0.3">
      <c r="B11" t="s">
        <v>60</v>
      </c>
      <c r="D11" s="12">
        <f>IFERROR(SUM('Data Sheet'!F18,'Data Sheet'!F20:F22)-1*'Data Sheet'!F19,0)</f>
        <v>6113.8899999999994</v>
      </c>
      <c r="E11" s="12">
        <f>IFERROR(SUM('Data Sheet'!G18,'Data Sheet'!G20:G22)-1*'Data Sheet'!G19,0)</f>
        <v>6261.01</v>
      </c>
      <c r="F11" s="12">
        <f>IFERROR(SUM('Data Sheet'!H18,'Data Sheet'!H20:H22)-1*'Data Sheet'!H19,0)</f>
        <v>7167.9</v>
      </c>
      <c r="G11" s="12">
        <f>IFERROR(SUM('Data Sheet'!I18,'Data Sheet'!I20:I22)-1*'Data Sheet'!I19,0)</f>
        <v>9689.9</v>
      </c>
      <c r="H11" s="12">
        <f>IFERROR(SUM('Data Sheet'!J18,'Data Sheet'!J20:J22)-1*'Data Sheet'!J19,0)</f>
        <v>10700.980000000001</v>
      </c>
      <c r="I11" s="12">
        <f>IFERROR(SUM('Data Sheet'!K18,'Data Sheet'!K20:K22)-1*'Data Sheet'!K19,0)</f>
        <v>12241.11</v>
      </c>
      <c r="J11" s="12">
        <f>IFERROR(SUM('Data Sheet'!H43:K43),0)</f>
        <v>17039.489999999998</v>
      </c>
    </row>
    <row r="12" spans="1:10" x14ac:dyDescent="0.3">
      <c r="B12" s="13" t="s">
        <v>61</v>
      </c>
      <c r="C12" s="13"/>
      <c r="D12" s="17">
        <f>D11/D8</f>
        <v>0.66792336987277101</v>
      </c>
      <c r="E12" s="18">
        <f t="shared" ref="E12:J12" si="1">E11/E8</f>
        <v>0.71797691606414882</v>
      </c>
      <c r="F12" s="18">
        <f t="shared" si="1"/>
        <v>0.6960592668552501</v>
      </c>
      <c r="G12" s="18">
        <f t="shared" si="1"/>
        <v>0.67094441420893514</v>
      </c>
      <c r="H12" s="18">
        <f t="shared" si="1"/>
        <v>0.64714092712892901</v>
      </c>
      <c r="I12" s="18">
        <f t="shared" si="1"/>
        <v>0.64869544020116221</v>
      </c>
      <c r="J12" s="18">
        <f t="shared" si="1"/>
        <v>0.75500939802149702</v>
      </c>
    </row>
    <row r="14" spans="1:10" x14ac:dyDescent="0.3">
      <c r="B14" s="35" t="s">
        <v>62</v>
      </c>
      <c r="C14" s="35"/>
      <c r="D14" s="36">
        <f>D8-D11</f>
        <v>3039.6900000000005</v>
      </c>
      <c r="E14" s="36">
        <f t="shared" ref="E14:J14" si="2">E8-E11</f>
        <v>2459.34</v>
      </c>
      <c r="F14" s="36">
        <f t="shared" si="2"/>
        <v>3129.9300000000003</v>
      </c>
      <c r="G14" s="36">
        <f t="shared" si="2"/>
        <v>4752.2800000000007</v>
      </c>
      <c r="H14" s="36">
        <f t="shared" si="2"/>
        <v>5834.7999999999975</v>
      </c>
      <c r="I14" s="36">
        <f t="shared" si="2"/>
        <v>6629.239999999998</v>
      </c>
      <c r="J14" s="36">
        <f t="shared" si="2"/>
        <v>5529.0900000000038</v>
      </c>
    </row>
    <row r="15" spans="1:10" x14ac:dyDescent="0.3">
      <c r="B15" s="13" t="s">
        <v>69</v>
      </c>
      <c r="D15" s="17">
        <f t="shared" ref="D15:J15" si="3">D14/D8</f>
        <v>0.33207663012722899</v>
      </c>
      <c r="E15" s="17">
        <f t="shared" si="3"/>
        <v>0.28202308393585118</v>
      </c>
      <c r="F15" s="17">
        <f t="shared" si="3"/>
        <v>0.30394073314474995</v>
      </c>
      <c r="G15" s="17">
        <f t="shared" si="3"/>
        <v>0.32905558579106481</v>
      </c>
      <c r="H15" s="17">
        <f t="shared" si="3"/>
        <v>0.35285907287107099</v>
      </c>
      <c r="I15" s="17">
        <f t="shared" si="3"/>
        <v>0.35130455979883779</v>
      </c>
      <c r="J15" s="17">
        <f t="shared" si="3"/>
        <v>0.244990601978503</v>
      </c>
    </row>
    <row r="17" spans="2:10" x14ac:dyDescent="0.3">
      <c r="B17" t="s">
        <v>63</v>
      </c>
      <c r="D17" s="15">
        <f>IFERROR(SUM('Data Sheet'!F23:F24),0)</f>
        <v>856.8</v>
      </c>
      <c r="E17" s="15">
        <f>IFERROR(SUM('Data Sheet'!G23:G24),0)</f>
        <v>676.11</v>
      </c>
      <c r="F17" s="15">
        <f>IFERROR(SUM('Data Sheet'!H23:H24),0)</f>
        <v>952.36</v>
      </c>
      <c r="G17" s="15">
        <f>IFERROR(SUM('Data Sheet'!I23:I24),0)</f>
        <v>1306.56</v>
      </c>
      <c r="H17" s="15">
        <f>IFERROR(SUM('Data Sheet'!J23:J24),0)</f>
        <v>1505.43</v>
      </c>
      <c r="I17" s="15">
        <f>IFERROR(SUM('Data Sheet'!K23:K24),0)</f>
        <v>1906.67</v>
      </c>
      <c r="J17" s="15">
        <f>IFERROR(SUM('Data Sheet'!L23:L24),0)</f>
        <v>0</v>
      </c>
    </row>
    <row r="18" spans="2:10" x14ac:dyDescent="0.3">
      <c r="B18" s="14" t="s">
        <v>65</v>
      </c>
      <c r="C18" s="14"/>
      <c r="D18" s="18">
        <f>D17/D8</f>
        <v>9.3602721558122604E-2</v>
      </c>
      <c r="E18" s="18">
        <f t="shared" ref="E18:J18" si="4">E17/E8</f>
        <v>7.7532438491574304E-2</v>
      </c>
      <c r="F18" s="18">
        <f t="shared" si="4"/>
        <v>9.2481619914098409E-2</v>
      </c>
      <c r="G18" s="18">
        <f t="shared" si="4"/>
        <v>9.046833649767555E-2</v>
      </c>
      <c r="H18" s="18">
        <f t="shared" si="4"/>
        <v>9.1040761306693738E-2</v>
      </c>
      <c r="I18" s="18">
        <f t="shared" si="4"/>
        <v>0.10104052124099448</v>
      </c>
      <c r="J18" s="18">
        <f t="shared" si="4"/>
        <v>0</v>
      </c>
    </row>
    <row r="20" spans="2:10" x14ac:dyDescent="0.3">
      <c r="B20" s="37" t="s">
        <v>64</v>
      </c>
      <c r="C20" s="37"/>
      <c r="D20" s="38">
        <f>D14-D17</f>
        <v>2182.8900000000003</v>
      </c>
      <c r="E20" s="38">
        <f t="shared" ref="E20:J20" si="5">E14-E17</f>
        <v>1783.23</v>
      </c>
      <c r="F20" s="38">
        <f t="shared" si="5"/>
        <v>2177.5700000000002</v>
      </c>
      <c r="G20" s="38">
        <f t="shared" si="5"/>
        <v>3445.7200000000007</v>
      </c>
      <c r="H20" s="38">
        <f t="shared" si="5"/>
        <v>4329.3699999999972</v>
      </c>
      <c r="I20" s="38">
        <f t="shared" si="5"/>
        <v>4722.5699999999979</v>
      </c>
      <c r="J20" s="38">
        <f t="shared" si="5"/>
        <v>5529.0900000000038</v>
      </c>
    </row>
    <row r="21" spans="2:10" x14ac:dyDescent="0.3">
      <c r="B21" s="14" t="s">
        <v>66</v>
      </c>
      <c r="D21" s="18">
        <f>D20/D8</f>
        <v>0.23847390856910633</v>
      </c>
      <c r="E21" s="18">
        <f t="shared" ref="E21:J21" si="6">E20/E8</f>
        <v>0.20449064544427689</v>
      </c>
      <c r="F21" s="18">
        <f t="shared" si="6"/>
        <v>0.21145911323065153</v>
      </c>
      <c r="G21" s="18">
        <f t="shared" si="6"/>
        <v>0.23858724929338926</v>
      </c>
      <c r="H21" s="18">
        <f t="shared" si="6"/>
        <v>0.26181831156437724</v>
      </c>
      <c r="I21" s="18">
        <f t="shared" si="6"/>
        <v>0.25026403855784329</v>
      </c>
      <c r="J21" s="18">
        <f t="shared" si="6"/>
        <v>0.244990601978503</v>
      </c>
    </row>
    <row r="23" spans="2:10" x14ac:dyDescent="0.3">
      <c r="B23" t="s">
        <v>6</v>
      </c>
      <c r="D23" s="15">
        <f>IFERROR('Data Sheet'!F27,0)</f>
        <v>18.88</v>
      </c>
      <c r="E23" s="15">
        <f>IFERROR('Data Sheet'!G27,0)</f>
        <v>16.45</v>
      </c>
      <c r="F23" s="15">
        <f>IFERROR('Data Sheet'!H27,0)</f>
        <v>18.78</v>
      </c>
      <c r="G23" s="15">
        <f>IFERROR('Data Sheet'!I27,0)</f>
        <v>28.02</v>
      </c>
      <c r="H23" s="15">
        <f>IFERROR('Data Sheet'!J27,0)</f>
        <v>50.88</v>
      </c>
      <c r="I23" s="15">
        <f>IFERROR('Data Sheet'!K27,0)</f>
        <v>54.34</v>
      </c>
      <c r="J23" s="15">
        <f>IFERROR(SUM('Data Sheet'!H46:K46),0)</f>
        <v>66.86999999999999</v>
      </c>
    </row>
    <row r="24" spans="2:10" x14ac:dyDescent="0.3">
      <c r="B24" s="14" t="s">
        <v>67</v>
      </c>
      <c r="C24" s="14"/>
      <c r="D24" s="18">
        <f t="shared" ref="D24:J24" si="7">D23/D8</f>
        <v>2.0625809792452787E-3</v>
      </c>
      <c r="E24" s="18">
        <f t="shared" si="7"/>
        <v>1.8863921746260183E-3</v>
      </c>
      <c r="F24" s="18">
        <f t="shared" si="7"/>
        <v>1.8236851841601581E-3</v>
      </c>
      <c r="G24" s="18">
        <f t="shared" si="7"/>
        <v>1.9401503097177849E-3</v>
      </c>
      <c r="H24" s="18">
        <f t="shared" si="7"/>
        <v>3.0769640137931205E-3</v>
      </c>
      <c r="I24" s="18">
        <f t="shared" si="7"/>
        <v>2.8796498210155088E-3</v>
      </c>
      <c r="J24" s="18">
        <f t="shared" si="7"/>
        <v>2.9629688708815525E-3</v>
      </c>
    </row>
    <row r="26" spans="2:10" x14ac:dyDescent="0.3">
      <c r="B26" t="s">
        <v>5</v>
      </c>
      <c r="D26" s="15">
        <f>IFERROR('Data Sheet'!F26,0)</f>
        <v>381.54</v>
      </c>
      <c r="E26" s="15">
        <f>IFERROR('Data Sheet'!G26,0)</f>
        <v>450.73</v>
      </c>
      <c r="F26" s="15">
        <f>IFERROR('Data Sheet'!H26,0)</f>
        <v>451.93</v>
      </c>
      <c r="G26" s="15">
        <f>IFERROR('Data Sheet'!I26,0)</f>
        <v>526.21</v>
      </c>
      <c r="H26" s="15">
        <f>IFERROR('Data Sheet'!J26,0)</f>
        <v>597.6</v>
      </c>
      <c r="I26" s="15">
        <f>IFERROR('Data Sheet'!K26,0)</f>
        <v>729.33</v>
      </c>
      <c r="J26" s="15">
        <f>IFERROR(SUM('Data Sheet'!H45:K45),0)</f>
        <v>810.09</v>
      </c>
    </row>
    <row r="27" spans="2:10" x14ac:dyDescent="0.3">
      <c r="B27" s="14" t="s">
        <v>68</v>
      </c>
      <c r="C27" s="14"/>
      <c r="D27" s="18">
        <f>D26/D8</f>
        <v>4.1682052268074352E-2</v>
      </c>
      <c r="E27" s="18">
        <f t="shared" ref="E27:J27" si="8">E26/E8</f>
        <v>5.1687145584752903E-2</v>
      </c>
      <c r="F27" s="18">
        <f t="shared" si="8"/>
        <v>4.3885944902955283E-2</v>
      </c>
      <c r="G27" s="18">
        <f t="shared" si="8"/>
        <v>3.643563506340456E-2</v>
      </c>
      <c r="H27" s="18">
        <f t="shared" si="8"/>
        <v>3.6139813180872025E-2</v>
      </c>
      <c r="I27" s="18">
        <f t="shared" si="8"/>
        <v>3.8649521603997809E-2</v>
      </c>
      <c r="J27" s="18">
        <f t="shared" si="8"/>
        <v>3.5894593279683522E-2</v>
      </c>
    </row>
    <row r="29" spans="2:10" x14ac:dyDescent="0.3">
      <c r="B29" s="37" t="s">
        <v>70</v>
      </c>
      <c r="C29" s="37"/>
      <c r="D29" s="38">
        <f>IFERROR(D20-SUM(D23,D26),0)</f>
        <v>1782.4700000000003</v>
      </c>
      <c r="E29" s="38">
        <f t="shared" ref="E29:J29" si="9">IFERROR(E20-SUM(E23,E26),0)</f>
        <v>1316.05</v>
      </c>
      <c r="F29" s="38">
        <f t="shared" si="9"/>
        <v>1706.8600000000001</v>
      </c>
      <c r="G29" s="38">
        <f t="shared" si="9"/>
        <v>2891.4900000000007</v>
      </c>
      <c r="H29" s="38">
        <f t="shared" si="9"/>
        <v>3680.8899999999971</v>
      </c>
      <c r="I29" s="38">
        <f t="shared" si="9"/>
        <v>3938.8999999999978</v>
      </c>
      <c r="J29" s="38">
        <f t="shared" si="9"/>
        <v>4652.1300000000037</v>
      </c>
    </row>
    <row r="30" spans="2:10" x14ac:dyDescent="0.3">
      <c r="B30" s="13" t="s">
        <v>71</v>
      </c>
      <c r="C30" s="13"/>
      <c r="D30" s="18">
        <f t="shared" ref="D30:J30" si="10">D29/D8</f>
        <v>0.19472927532178669</v>
      </c>
      <c r="E30" s="18">
        <f t="shared" si="10"/>
        <v>0.15091710768489797</v>
      </c>
      <c r="F30" s="18">
        <f t="shared" si="10"/>
        <v>0.16574948314353607</v>
      </c>
      <c r="G30" s="18">
        <f t="shared" si="10"/>
        <v>0.20021146392026692</v>
      </c>
      <c r="H30" s="18">
        <f t="shared" si="10"/>
        <v>0.22260153436971206</v>
      </c>
      <c r="I30" s="18">
        <f t="shared" si="10"/>
        <v>0.20873486713282999</v>
      </c>
      <c r="J30" s="18">
        <f t="shared" si="10"/>
        <v>0.20613303982793793</v>
      </c>
    </row>
    <row r="32" spans="2:10" x14ac:dyDescent="0.3">
      <c r="B32" t="s">
        <v>8</v>
      </c>
      <c r="D32" s="15">
        <f>IFERROR('Data Sheet'!F29,0)</f>
        <v>527.45000000000005</v>
      </c>
      <c r="E32" s="15">
        <f>IFERROR('Data Sheet'!G29,0)</f>
        <v>451.5</v>
      </c>
      <c r="F32" s="15">
        <f>IFERROR('Data Sheet'!H29,0)</f>
        <v>525.91</v>
      </c>
      <c r="G32" s="15">
        <f>IFERROR('Data Sheet'!I29,0)</f>
        <v>885.69</v>
      </c>
      <c r="H32" s="15">
        <f>IFERROR('Data Sheet'!J29,0)</f>
        <v>1201.01</v>
      </c>
      <c r="I32" s="15">
        <f>IFERROR('Data Sheet'!K29,0)</f>
        <v>1198.6300000000001</v>
      </c>
      <c r="J32" s="15">
        <f>IFERROR(SUM('Data Sheet'!H48:K48),0)</f>
        <v>1476.9299999999998</v>
      </c>
    </row>
    <row r="33" spans="2:10" x14ac:dyDescent="0.3">
      <c r="B33" s="13" t="s">
        <v>72</v>
      </c>
      <c r="C33" s="13"/>
      <c r="D33" s="18">
        <f t="shared" ref="D33:J33" si="11">D32/D29</f>
        <v>0.29590960857686244</v>
      </c>
      <c r="E33" s="18">
        <f t="shared" si="11"/>
        <v>0.34307207172979753</v>
      </c>
      <c r="F33" s="18">
        <f t="shared" si="11"/>
        <v>0.30811548691749757</v>
      </c>
      <c r="G33" s="18">
        <f t="shared" si="11"/>
        <v>0.30630920390525296</v>
      </c>
      <c r="H33" s="18">
        <f t="shared" si="11"/>
        <v>0.32628250232959988</v>
      </c>
      <c r="I33" s="18">
        <f t="shared" si="11"/>
        <v>0.30430577064662745</v>
      </c>
      <c r="J33" s="18">
        <f t="shared" si="11"/>
        <v>0.31747393129598672</v>
      </c>
    </row>
    <row r="34" spans="2:10" x14ac:dyDescent="0.3">
      <c r="D34" t="s">
        <v>75</v>
      </c>
    </row>
    <row r="35" spans="2:10" x14ac:dyDescent="0.3">
      <c r="B35" s="37" t="s">
        <v>73</v>
      </c>
      <c r="C35" s="37"/>
      <c r="D35" s="38">
        <f>IFERROR(D29-D32,0)</f>
        <v>1255.0200000000002</v>
      </c>
      <c r="E35" s="38">
        <f t="shared" ref="E35:J35" si="12">IFERROR(E29-E32,0)</f>
        <v>864.55</v>
      </c>
      <c r="F35" s="38">
        <f t="shared" si="12"/>
        <v>1180.9500000000003</v>
      </c>
      <c r="G35" s="38">
        <f t="shared" si="12"/>
        <v>2005.8000000000006</v>
      </c>
      <c r="H35" s="38">
        <f t="shared" si="12"/>
        <v>2479.8799999999974</v>
      </c>
      <c r="I35" s="38">
        <f t="shared" si="12"/>
        <v>2740.2699999999977</v>
      </c>
      <c r="J35" s="38">
        <f t="shared" si="12"/>
        <v>3175.2000000000039</v>
      </c>
    </row>
    <row r="36" spans="2:10" x14ac:dyDescent="0.3">
      <c r="B36" s="13" t="s">
        <v>74</v>
      </c>
      <c r="D36" s="18">
        <f t="shared" ref="D36:J36" si="13">D35/D8</f>
        <v>0.13710701168286071</v>
      </c>
      <c r="E36" s="18">
        <f t="shared" si="13"/>
        <v>9.9141662891971072E-2</v>
      </c>
      <c r="F36" s="18">
        <f t="shared" si="13"/>
        <v>0.11467950043844191</v>
      </c>
      <c r="G36" s="18">
        <f t="shared" si="13"/>
        <v>0.1388848497941447</v>
      </c>
      <c r="H36" s="18">
        <f t="shared" si="13"/>
        <v>0.14997054871315399</v>
      </c>
      <c r="I36" s="18">
        <f t="shared" si="13"/>
        <v>0.14521564252915276</v>
      </c>
      <c r="J36" s="18">
        <f t="shared" si="13"/>
        <v>0.14069117330377026</v>
      </c>
    </row>
    <row r="38" spans="2:10" x14ac:dyDescent="0.3">
      <c r="B38" t="s">
        <v>78</v>
      </c>
      <c r="D38" s="25">
        <f>IFERROR('Data Sheet'!F93,0)</f>
        <v>27.31</v>
      </c>
      <c r="E38" s="25">
        <f>IFERROR('Data Sheet'!G93,0)</f>
        <v>27.33</v>
      </c>
      <c r="F38" s="25">
        <f>IFERROR('Data Sheet'!H93,0)</f>
        <v>27.34</v>
      </c>
      <c r="G38" s="25">
        <f>IFERROR('Data Sheet'!I93,0)</f>
        <v>27.35</v>
      </c>
      <c r="H38" s="25">
        <f>IFERROR('Data Sheet'!J93,0)</f>
        <v>27.38</v>
      </c>
      <c r="I38" s="25">
        <f>IFERROR('Data Sheet'!K93,0)</f>
        <v>27.42</v>
      </c>
      <c r="J38" s="25">
        <f>I38</f>
        <v>27.42</v>
      </c>
    </row>
    <row r="40" spans="2:10" x14ac:dyDescent="0.3">
      <c r="B40" t="s">
        <v>76</v>
      </c>
      <c r="D40" s="15">
        <f>IFERROR(D35/D38,0)</f>
        <v>45.954595386305392</v>
      </c>
      <c r="E40" s="15">
        <f t="shared" ref="E40:J40" si="14">IFERROR(E35/E38,0)</f>
        <v>31.63373582144164</v>
      </c>
      <c r="F40" s="15">
        <f t="shared" si="14"/>
        <v>43.194952450621813</v>
      </c>
      <c r="G40" s="15">
        <f t="shared" si="14"/>
        <v>73.338208409506422</v>
      </c>
      <c r="H40" s="15">
        <f t="shared" si="14"/>
        <v>90.572680788896918</v>
      </c>
      <c r="I40" s="15">
        <f t="shared" si="14"/>
        <v>99.936907366885393</v>
      </c>
      <c r="J40" s="15">
        <f t="shared" si="14"/>
        <v>115.79868708971567</v>
      </c>
    </row>
    <row r="41" spans="2:10" x14ac:dyDescent="0.3">
      <c r="B41" s="18" t="s">
        <v>79</v>
      </c>
      <c r="C41" s="18"/>
      <c r="D41" s="18"/>
      <c r="E41" s="18">
        <f>E40/D40-1</f>
        <v>-0.31163063115841105</v>
      </c>
      <c r="F41" s="18">
        <f t="shared" ref="F41:J41" si="15">F40/E40-1</f>
        <v>0.36547111268925359</v>
      </c>
      <c r="G41" s="18">
        <f t="shared" si="15"/>
        <v>0.69784209146526521</v>
      </c>
      <c r="H41" s="18">
        <f t="shared" si="15"/>
        <v>0.23499991004902276</v>
      </c>
      <c r="I41" s="18">
        <f t="shared" si="15"/>
        <v>0.10338908483689724</v>
      </c>
      <c r="J41" s="18">
        <f t="shared" si="15"/>
        <v>0.1587179365536997</v>
      </c>
    </row>
    <row r="43" spans="2:10" x14ac:dyDescent="0.3">
      <c r="B43" t="s">
        <v>77</v>
      </c>
      <c r="D43" s="15">
        <f>IFERROR('Data Sheet'!F31/'Financial Statment Analysi'!D38,0)</f>
        <v>12.495422922006592</v>
      </c>
      <c r="E43" s="15">
        <f>IFERROR('Data Sheet'!G31/'Financial Statment Analysi'!E38,0)</f>
        <v>17</v>
      </c>
      <c r="F43" s="15">
        <f>IFERROR('Data Sheet'!H31/'Financial Statment Analysi'!F38,0)</f>
        <v>21</v>
      </c>
      <c r="G43" s="15">
        <f>IFERROR('Data Sheet'!I31/'Financial Statment Analysi'!G38,0)</f>
        <v>37</v>
      </c>
      <c r="H43" s="15">
        <f>IFERROR('Data Sheet'!J31/'Financial Statment Analysi'!H38,0)</f>
        <v>51.000000000000007</v>
      </c>
      <c r="I43" s="15">
        <f>IFERROR('Data Sheet'!K31/'Financial Statment Analysi'!I38,0)</f>
        <v>70</v>
      </c>
      <c r="J43" s="15">
        <f>IFERROR('Data Sheet'!L31/'Financial Statment Analysi'!J38,0)</f>
        <v>0</v>
      </c>
    </row>
    <row r="44" spans="2:10" x14ac:dyDescent="0.3">
      <c r="B44" s="18" t="s">
        <v>80</v>
      </c>
      <c r="C44" s="18"/>
      <c r="D44" s="18">
        <f>IFERROR(D43/D40,0)</f>
        <v>0.27190801740211307</v>
      </c>
      <c r="E44" s="18">
        <f t="shared" ref="E44:J44" si="16">IFERROR(E43/E40,0)</f>
        <v>0.53740096003701343</v>
      </c>
      <c r="F44" s="18">
        <f t="shared" si="16"/>
        <v>0.48616791566112016</v>
      </c>
      <c r="G44" s="18">
        <f t="shared" si="16"/>
        <v>0.50451191544520868</v>
      </c>
      <c r="H44" s="18">
        <f t="shared" si="16"/>
        <v>0.56308369759827148</v>
      </c>
      <c r="I44" s="18">
        <f t="shared" si="16"/>
        <v>0.70044192725534404</v>
      </c>
      <c r="J44" s="18">
        <f t="shared" si="16"/>
        <v>0</v>
      </c>
    </row>
    <row r="46" spans="2:10" x14ac:dyDescent="0.3">
      <c r="B46" t="s">
        <v>81</v>
      </c>
      <c r="D46" s="16">
        <f>IFERROR(IF(D40&gt;D43,1-D44),0)</f>
        <v>0.72809198259788688</v>
      </c>
      <c r="E46" s="16">
        <f t="shared" ref="E46:J46" si="17">IFERROR(IF(E40&gt;E43,1-E44),0)</f>
        <v>0.46259903996298657</v>
      </c>
      <c r="F46" s="16">
        <f t="shared" si="17"/>
        <v>0.51383208433887984</v>
      </c>
      <c r="G46" s="16">
        <f t="shared" si="17"/>
        <v>0.49548808455479132</v>
      </c>
      <c r="H46" s="16">
        <f t="shared" si="17"/>
        <v>0.43691630240172852</v>
      </c>
      <c r="I46" s="16">
        <f t="shared" si="17"/>
        <v>0.29955807274465596</v>
      </c>
      <c r="J46" s="16">
        <f t="shared" si="17"/>
        <v>1</v>
      </c>
    </row>
    <row r="50" spans="1:10" x14ac:dyDescent="0.3">
      <c r="A50" s="11" t="s">
        <v>56</v>
      </c>
      <c r="B50" s="19" t="s">
        <v>82</v>
      </c>
      <c r="C50" s="20"/>
      <c r="D50" s="20"/>
      <c r="E50" s="20"/>
      <c r="F50" s="20"/>
      <c r="G50" s="20"/>
      <c r="H50" s="20"/>
      <c r="I50" s="20"/>
      <c r="J50" s="21"/>
    </row>
    <row r="51" spans="1:10" x14ac:dyDescent="0.3">
      <c r="B51" s="4" t="s">
        <v>10</v>
      </c>
      <c r="D51" s="15">
        <f>IFERROR('Data Sheet'!F57,0)</f>
        <v>27.3</v>
      </c>
      <c r="E51" s="15">
        <f>IFERROR('Data Sheet'!G57,0)</f>
        <v>27.33</v>
      </c>
      <c r="F51" s="15">
        <f>IFERROR('Data Sheet'!H57,0)</f>
        <v>27.34</v>
      </c>
      <c r="G51" s="15">
        <f>IFERROR('Data Sheet'!I57,0)</f>
        <v>27.35</v>
      </c>
      <c r="H51" s="15">
        <f>IFERROR('Data Sheet'!J57,0)</f>
        <v>27.38</v>
      </c>
      <c r="I51" s="15">
        <f>IFERROR('Data Sheet'!K57,0)</f>
        <v>27.42</v>
      </c>
    </row>
    <row r="52" spans="1:10" x14ac:dyDescent="0.3">
      <c r="B52" s="4" t="s">
        <v>11</v>
      </c>
      <c r="D52" s="15">
        <f>IFERROR('Data Sheet'!F58,0)</f>
        <v>9953.6299999999992</v>
      </c>
      <c r="E52" s="15">
        <f>IFERROR('Data Sheet'!G58,0)</f>
        <v>11410.75</v>
      </c>
      <c r="F52" s="15">
        <f>IFERROR('Data Sheet'!H58,0)</f>
        <v>12580.66</v>
      </c>
      <c r="G52" s="15">
        <f>IFERROR('Data Sheet'!I58,0)</f>
        <v>14962.93</v>
      </c>
      <c r="H52" s="15">
        <f>IFERROR('Data Sheet'!J58,0)</f>
        <v>18018.150000000001</v>
      </c>
      <c r="I52" s="15">
        <f>IFERROR('Data Sheet'!K58,0)</f>
        <v>21269.07</v>
      </c>
    </row>
    <row r="53" spans="1:10" x14ac:dyDescent="0.3">
      <c r="B53" s="4" t="s">
        <v>35</v>
      </c>
      <c r="D53" s="15">
        <f>IFERROR('Data Sheet'!F59,0)</f>
        <v>249</v>
      </c>
      <c r="E53" s="15">
        <f>IFERROR('Data Sheet'!G59,0)</f>
        <v>219.25</v>
      </c>
      <c r="F53" s="15">
        <f>IFERROR('Data Sheet'!H59,0)</f>
        <v>107.71</v>
      </c>
      <c r="G53" s="15">
        <f>IFERROR('Data Sheet'!I59,0)</f>
        <v>288.41000000000003</v>
      </c>
      <c r="H53" s="15">
        <f>IFERROR('Data Sheet'!J59,0)</f>
        <v>419.44</v>
      </c>
      <c r="I53" s="15">
        <f>IFERROR('Data Sheet'!K59,0)</f>
        <v>458.13</v>
      </c>
    </row>
    <row r="54" spans="1:10" x14ac:dyDescent="0.3">
      <c r="B54" s="4" t="s">
        <v>36</v>
      </c>
      <c r="D54" s="15">
        <f>IFERROR('Data Sheet'!F60,0)</f>
        <v>2219.79</v>
      </c>
      <c r="E54" s="15">
        <f>IFERROR('Data Sheet'!G60,0)</f>
        <v>2901.28</v>
      </c>
      <c r="F54" s="15">
        <f>IFERROR('Data Sheet'!H60,0)</f>
        <v>3424.12</v>
      </c>
      <c r="G54" s="15">
        <f>IFERROR('Data Sheet'!I60,0)</f>
        <v>3918.95</v>
      </c>
      <c r="H54" s="15">
        <f>IFERROR('Data Sheet'!J60,0)</f>
        <v>4650.16</v>
      </c>
      <c r="I54" s="15">
        <f>IFERROR('Data Sheet'!K60,0)</f>
        <v>5419.79</v>
      </c>
    </row>
    <row r="55" spans="1:10" x14ac:dyDescent="0.3">
      <c r="B55" s="39" t="s">
        <v>85</v>
      </c>
      <c r="C55" s="37"/>
      <c r="D55" s="38">
        <f>IFERROR('Data Sheet'!F61,0)</f>
        <v>12449.72</v>
      </c>
      <c r="E55" s="38">
        <f>IFERROR('Data Sheet'!G61,0)</f>
        <v>14558.61</v>
      </c>
      <c r="F55" s="38">
        <f>IFERROR('Data Sheet'!H61,0)</f>
        <v>16139.83</v>
      </c>
      <c r="G55" s="38">
        <f>IFERROR('Data Sheet'!I61,0)</f>
        <v>19197.64</v>
      </c>
      <c r="H55" s="38">
        <f>IFERROR('Data Sheet'!J61,0)</f>
        <v>23115.13</v>
      </c>
      <c r="I55" s="38">
        <f>IFERROR('Data Sheet'!K61,0)</f>
        <v>27174.41</v>
      </c>
    </row>
    <row r="56" spans="1:10" x14ac:dyDescent="0.3">
      <c r="B56" s="3"/>
    </row>
    <row r="57" spans="1:10" x14ac:dyDescent="0.3">
      <c r="B57" s="4" t="s">
        <v>83</v>
      </c>
      <c r="D57" s="15">
        <f>IFERROR('Data Sheet'!F62,0)</f>
        <v>2377.52</v>
      </c>
      <c r="E57" s="15">
        <f>IFERROR('Data Sheet'!G62,0)</f>
        <v>2433.3000000000002</v>
      </c>
      <c r="F57" s="15">
        <f>IFERROR('Data Sheet'!H62,0)</f>
        <v>2424.2800000000002</v>
      </c>
      <c r="G57" s="15">
        <f>IFERROR('Data Sheet'!I62,0)</f>
        <v>2689.99</v>
      </c>
      <c r="H57" s="15">
        <f>IFERROR('Data Sheet'!J62,0)</f>
        <v>2914.38</v>
      </c>
      <c r="I57" s="15">
        <f>IFERROR('Data Sheet'!K62,0)</f>
        <v>3473.47</v>
      </c>
    </row>
    <row r="58" spans="1:10" x14ac:dyDescent="0.3">
      <c r="B58" s="4" t="s">
        <v>14</v>
      </c>
      <c r="D58" s="15">
        <f>IFERROR('Data Sheet'!F63,0)</f>
        <v>312.17</v>
      </c>
      <c r="E58" s="15">
        <f>IFERROR('Data Sheet'!G63,0)</f>
        <v>314.29000000000002</v>
      </c>
      <c r="F58" s="15">
        <f>IFERROR('Data Sheet'!H63,0)</f>
        <v>504.78</v>
      </c>
      <c r="G58" s="15">
        <f>IFERROR('Data Sheet'!I63,0)</f>
        <v>472.07</v>
      </c>
      <c r="H58" s="15">
        <f>IFERROR('Data Sheet'!J63,0)</f>
        <v>555.1</v>
      </c>
      <c r="I58" s="15">
        <f>IFERROR('Data Sheet'!K63,0)</f>
        <v>491.47</v>
      </c>
    </row>
    <row r="59" spans="1:10" x14ac:dyDescent="0.3">
      <c r="B59" s="4" t="s">
        <v>15</v>
      </c>
      <c r="D59" s="15">
        <f>IFERROR('Data Sheet'!F64,0)</f>
        <v>5748.77</v>
      </c>
      <c r="E59" s="15">
        <f>IFERROR('Data Sheet'!G64,0)</f>
        <v>3902.14</v>
      </c>
      <c r="F59" s="15">
        <f>IFERROR('Data Sheet'!H64,0)</f>
        <v>7720.58</v>
      </c>
      <c r="G59" s="15">
        <f>IFERROR('Data Sheet'!I64,0)</f>
        <v>12320.66</v>
      </c>
      <c r="H59" s="15">
        <f>IFERROR('Data Sheet'!J64,0)</f>
        <v>13526.96</v>
      </c>
      <c r="I59" s="15">
        <f>IFERROR('Data Sheet'!K64,0)</f>
        <v>14790.9</v>
      </c>
    </row>
    <row r="60" spans="1:10" x14ac:dyDescent="0.3">
      <c r="B60" s="4" t="s">
        <v>37</v>
      </c>
      <c r="D60" s="15">
        <f>IFERROR('Data Sheet'!F65-SUM('Data Sheet'!F67:F69),0)</f>
        <v>401.55999999999995</v>
      </c>
      <c r="E60" s="15">
        <f>IFERROR('Data Sheet'!G65-SUM('Data Sheet'!G67:G69),0)</f>
        <v>1045.7600000000002</v>
      </c>
      <c r="F60" s="15">
        <f>IFERROR('Data Sheet'!H65-SUM('Data Sheet'!H67:H69),0)</f>
        <v>1333.2799999999997</v>
      </c>
      <c r="G60" s="15">
        <f>IFERROR('Data Sheet'!I65-SUM('Data Sheet'!I67:I69),0)</f>
        <v>1301.98</v>
      </c>
      <c r="H60" s="15">
        <f>IFERROR('Data Sheet'!J65-SUM('Data Sheet'!J67:J69),0)</f>
        <v>4188.9599999999991</v>
      </c>
      <c r="I60" s="15">
        <f>IFERROR('Data Sheet'!K65-SUM('Data Sheet'!K67:K69),0)</f>
        <v>6042.17</v>
      </c>
    </row>
    <row r="61" spans="1:10" x14ac:dyDescent="0.3">
      <c r="B61" s="39" t="s">
        <v>84</v>
      </c>
      <c r="C61" s="37"/>
      <c r="D61" s="38">
        <f>IFERROR(SUM(D57:D60),0)</f>
        <v>8840.02</v>
      </c>
      <c r="E61" s="38">
        <f t="shared" ref="E61:I61" si="18">IFERROR(SUM(E57:E60),0)</f>
        <v>7695.49</v>
      </c>
      <c r="F61" s="38">
        <f t="shared" si="18"/>
        <v>11982.919999999998</v>
      </c>
      <c r="G61" s="38">
        <f t="shared" si="18"/>
        <v>16784.7</v>
      </c>
      <c r="H61" s="38">
        <f t="shared" si="18"/>
        <v>21185.399999999998</v>
      </c>
      <c r="I61" s="38">
        <f t="shared" si="18"/>
        <v>24798.010000000002</v>
      </c>
    </row>
    <row r="62" spans="1:10" x14ac:dyDescent="0.3">
      <c r="B62" s="4"/>
    </row>
    <row r="63" spans="1:10" x14ac:dyDescent="0.3">
      <c r="B63" s="4" t="s">
        <v>42</v>
      </c>
      <c r="D63" s="15">
        <f>IFERROR('Data Sheet'!F67,0)</f>
        <v>86.76</v>
      </c>
      <c r="E63" s="15">
        <f>IFERROR('Data Sheet'!G67,0)</f>
        <v>158.16</v>
      </c>
      <c r="F63" s="15">
        <f>IFERROR('Data Sheet'!H67,0)</f>
        <v>302.04000000000002</v>
      </c>
      <c r="G63" s="15">
        <f>IFERROR('Data Sheet'!I67,0)</f>
        <v>368.92</v>
      </c>
      <c r="H63" s="15">
        <f>IFERROR('Data Sheet'!J67,0)</f>
        <v>373.78</v>
      </c>
      <c r="I63" s="15">
        <f>IFERROR('Data Sheet'!K67,0)</f>
        <v>549.64</v>
      </c>
    </row>
    <row r="64" spans="1:10" x14ac:dyDescent="0.3">
      <c r="B64" s="4" t="s">
        <v>29</v>
      </c>
      <c r="D64" s="15">
        <f>IFERROR('Data Sheet'!F68,0)</f>
        <v>572.35</v>
      </c>
      <c r="E64" s="15">
        <f>IFERROR('Data Sheet'!G68,0)</f>
        <v>874.6</v>
      </c>
      <c r="F64" s="15">
        <f>IFERROR('Data Sheet'!H68,0)</f>
        <v>1132.4000000000001</v>
      </c>
      <c r="G64" s="15">
        <f>IFERROR('Data Sheet'!I68,0)</f>
        <v>1278.44</v>
      </c>
      <c r="H64" s="15">
        <f>IFERROR('Data Sheet'!J68,0)</f>
        <v>1409.64</v>
      </c>
      <c r="I64" s="15">
        <f>IFERROR('Data Sheet'!K68,0)</f>
        <v>1563.75</v>
      </c>
    </row>
    <row r="65" spans="1:10" x14ac:dyDescent="0.3">
      <c r="B65" s="4" t="s">
        <v>51</v>
      </c>
      <c r="D65" s="15">
        <f>IFERROR('Data Sheet'!F69,0)</f>
        <v>2950.59</v>
      </c>
      <c r="E65" s="15">
        <f>IFERROR('Data Sheet'!G69,0)</f>
        <v>5830.36</v>
      </c>
      <c r="F65" s="15">
        <f>IFERROR('Data Sheet'!H69,0)</f>
        <v>2722.47</v>
      </c>
      <c r="G65" s="15">
        <f>IFERROR('Data Sheet'!I69,0)</f>
        <v>765.58</v>
      </c>
      <c r="H65" s="15">
        <f>IFERROR('Data Sheet'!J69,0)</f>
        <v>146.31</v>
      </c>
      <c r="I65" s="15">
        <f>IFERROR('Data Sheet'!K69,0)</f>
        <v>263.01</v>
      </c>
    </row>
    <row r="66" spans="1:10" x14ac:dyDescent="0.3">
      <c r="B66" s="40" t="s">
        <v>86</v>
      </c>
      <c r="C66" s="37"/>
      <c r="D66" s="38">
        <f>IFERROR(SUM(D63:D65),0)</f>
        <v>3609.7000000000003</v>
      </c>
      <c r="E66" s="38">
        <f t="shared" ref="E66:I66" si="19">IFERROR(SUM(E63:E65),0)</f>
        <v>6863.12</v>
      </c>
      <c r="F66" s="38">
        <f t="shared" si="19"/>
        <v>4156.91</v>
      </c>
      <c r="G66" s="38">
        <f t="shared" si="19"/>
        <v>2412.94</v>
      </c>
      <c r="H66" s="38">
        <f t="shared" si="19"/>
        <v>1929.73</v>
      </c>
      <c r="I66" s="38">
        <f t="shared" si="19"/>
        <v>2376.3999999999996</v>
      </c>
    </row>
    <row r="68" spans="1:10" x14ac:dyDescent="0.3">
      <c r="B68" s="40" t="s">
        <v>87</v>
      </c>
      <c r="C68" s="37"/>
      <c r="D68" s="38">
        <f>IFERROR(SUM(D61,D66),0)</f>
        <v>12449.720000000001</v>
      </c>
      <c r="E68" s="38">
        <f t="shared" ref="E68:I68" si="20">IFERROR(SUM(E61,E66),0)</f>
        <v>14558.61</v>
      </c>
      <c r="F68" s="38">
        <f t="shared" si="20"/>
        <v>16139.829999999998</v>
      </c>
      <c r="G68" s="38">
        <f t="shared" si="20"/>
        <v>19197.64</v>
      </c>
      <c r="H68" s="38">
        <f t="shared" si="20"/>
        <v>23115.129999999997</v>
      </c>
      <c r="I68" s="38">
        <f t="shared" si="20"/>
        <v>27174.410000000003</v>
      </c>
    </row>
    <row r="70" spans="1:10" x14ac:dyDescent="0.3">
      <c r="B70" s="28" t="s">
        <v>88</v>
      </c>
      <c r="C70" s="28"/>
      <c r="D70" s="28" t="b">
        <f>D68=D55</f>
        <v>1</v>
      </c>
      <c r="E70" s="28" t="b">
        <f t="shared" ref="E70:I70" si="21">E68=E55</f>
        <v>1</v>
      </c>
      <c r="F70" s="28" t="b">
        <f t="shared" si="21"/>
        <v>1</v>
      </c>
      <c r="G70" s="28" t="b">
        <f t="shared" si="21"/>
        <v>1</v>
      </c>
      <c r="H70" s="28" t="b">
        <f t="shared" si="21"/>
        <v>1</v>
      </c>
      <c r="I70" s="28" t="b">
        <f t="shared" si="21"/>
        <v>1</v>
      </c>
    </row>
    <row r="73" spans="1:10" x14ac:dyDescent="0.3">
      <c r="A73" s="11" t="s">
        <v>56</v>
      </c>
      <c r="B73" s="19" t="s">
        <v>113</v>
      </c>
      <c r="C73" s="20"/>
      <c r="D73" s="20"/>
      <c r="E73" s="20"/>
      <c r="F73" s="20"/>
      <c r="G73" s="20"/>
      <c r="H73" s="20"/>
      <c r="I73" s="20"/>
      <c r="J73" s="21"/>
    </row>
    <row r="74" spans="1:10" x14ac:dyDescent="0.3">
      <c r="B74" s="11"/>
    </row>
    <row r="75" spans="1:10" x14ac:dyDescent="0.3">
      <c r="B75" s="11" t="s">
        <v>114</v>
      </c>
      <c r="D75" s="12">
        <f>IFERROR('Data Sheet'!F82,0)</f>
        <v>1694.12</v>
      </c>
      <c r="E75" s="12">
        <f>IFERROR('Data Sheet'!G82,0)</f>
        <v>1690.97</v>
      </c>
      <c r="F75" s="12">
        <f>IFERROR('Data Sheet'!H82,0)</f>
        <v>1527.04</v>
      </c>
      <c r="G75" s="12">
        <f>IFERROR('Data Sheet'!I82,0)</f>
        <v>2822.66</v>
      </c>
      <c r="H75" s="12">
        <f>IFERROR('Data Sheet'!J82,0)</f>
        <v>3723.71</v>
      </c>
      <c r="I75" s="12">
        <f>IFERROR('Data Sheet'!K82,0)</f>
        <v>3979.92</v>
      </c>
    </row>
    <row r="76" spans="1:10" x14ac:dyDescent="0.3">
      <c r="D76" s="12"/>
      <c r="E76" s="12"/>
      <c r="F76" s="12"/>
      <c r="G76" s="12"/>
      <c r="H76" s="12"/>
      <c r="I76" s="12"/>
    </row>
    <row r="77" spans="1:10" x14ac:dyDescent="0.3">
      <c r="B77" s="11" t="s">
        <v>18</v>
      </c>
      <c r="D77" s="12">
        <f>IFERROR('Data Sheet'!F83,0)</f>
        <v>-1508.41</v>
      </c>
      <c r="E77" s="12">
        <f>IFERROR('Data Sheet'!G83,0)</f>
        <v>-1625.3</v>
      </c>
      <c r="F77" s="12">
        <f>IFERROR('Data Sheet'!H83,0)</f>
        <v>-983.25</v>
      </c>
      <c r="G77" s="12">
        <f>IFERROR('Data Sheet'!I83,0)</f>
        <v>-2396.8000000000002</v>
      </c>
      <c r="H77" s="12">
        <f>IFERROR('Data Sheet'!J83,0)</f>
        <v>-2833.93</v>
      </c>
      <c r="I77" s="12">
        <f>IFERROR('Data Sheet'!K83,0)</f>
        <v>-2460.6799999999998</v>
      </c>
    </row>
    <row r="78" spans="1:10" x14ac:dyDescent="0.3">
      <c r="D78" s="12"/>
      <c r="E78" s="12"/>
      <c r="F78" s="12"/>
      <c r="G78" s="12"/>
      <c r="H78" s="12"/>
      <c r="I78" s="12"/>
    </row>
    <row r="79" spans="1:10" x14ac:dyDescent="0.3">
      <c r="B79" s="11" t="s">
        <v>19</v>
      </c>
      <c r="D79" s="12">
        <f>IFERROR('Data Sheet'!F84,0)</f>
        <v>-858.25</v>
      </c>
      <c r="E79" s="12">
        <f>IFERROR('Data Sheet'!G84,0)</f>
        <v>-14.76</v>
      </c>
      <c r="F79" s="12">
        <f>IFERROR('Data Sheet'!H84,0)</f>
        <v>-593.36</v>
      </c>
      <c r="G79" s="12">
        <f>IFERROR('Data Sheet'!I84,0)</f>
        <v>-417.44</v>
      </c>
      <c r="H79" s="12">
        <f>IFERROR('Data Sheet'!J84,0)</f>
        <v>-844.36</v>
      </c>
      <c r="I79" s="12">
        <f>IFERROR('Data Sheet'!K84,0)</f>
        <v>-1398.67</v>
      </c>
    </row>
    <row r="80" spans="1:10" x14ac:dyDescent="0.3">
      <c r="D80" s="12"/>
      <c r="E80" s="12"/>
      <c r="F80" s="12"/>
      <c r="G80" s="12"/>
      <c r="H80" s="12"/>
      <c r="I80" s="12"/>
    </row>
    <row r="81" spans="2:9" x14ac:dyDescent="0.3">
      <c r="B81" s="11" t="s">
        <v>20</v>
      </c>
      <c r="D81" s="34">
        <f>IFERROR(SUM(D75+D77+D79),0)</f>
        <v>-672.54000000000019</v>
      </c>
      <c r="E81" s="34">
        <f t="shared" ref="E81:I81" si="22">IFERROR(SUM(E75+E77+E79),0)</f>
        <v>50.910000000000075</v>
      </c>
      <c r="F81" s="34">
        <f t="shared" si="22"/>
        <v>-49.57000000000005</v>
      </c>
      <c r="G81" s="34">
        <f t="shared" si="22"/>
        <v>8.4199999999996749</v>
      </c>
      <c r="H81" s="34">
        <f t="shared" si="22"/>
        <v>45.420000000000186</v>
      </c>
      <c r="I81" s="34">
        <f t="shared" si="22"/>
        <v>120.57000000000016</v>
      </c>
    </row>
    <row r="82" spans="2:9" x14ac:dyDescent="0.3">
      <c r="D82" s="12"/>
      <c r="E82" s="12"/>
      <c r="F82" s="12"/>
      <c r="G82" s="12"/>
      <c r="H82" s="12"/>
      <c r="I82" s="12"/>
    </row>
    <row r="83" spans="2:9" x14ac:dyDescent="0.3">
      <c r="B83" s="11"/>
      <c r="D83" s="34"/>
      <c r="E83" s="34"/>
      <c r="F83" s="34"/>
      <c r="G83" s="34"/>
      <c r="H83" s="34"/>
      <c r="I83" s="34"/>
    </row>
    <row r="85" spans="2:9" x14ac:dyDescent="0.3">
      <c r="B85" s="11"/>
    </row>
    <row r="86" spans="2:9" x14ac:dyDescent="0.3">
      <c r="D86" s="12"/>
      <c r="E86" s="12"/>
      <c r="F86" s="12"/>
      <c r="G86" s="12"/>
      <c r="H86" s="12"/>
      <c r="I86" s="12"/>
    </row>
    <row r="87" spans="2:9" x14ac:dyDescent="0.3">
      <c r="D87" s="12"/>
      <c r="E87" s="12"/>
      <c r="F87" s="12"/>
      <c r="G87" s="12"/>
      <c r="H87" s="12"/>
      <c r="I87" s="12"/>
    </row>
    <row r="88" spans="2:9" x14ac:dyDescent="0.3">
      <c r="D88" s="12"/>
      <c r="E88" s="12"/>
      <c r="F88" s="12"/>
      <c r="G88" s="12"/>
      <c r="H88" s="12"/>
      <c r="I88" s="12"/>
    </row>
    <row r="89" spans="2:9" x14ac:dyDescent="0.3">
      <c r="D89" s="12"/>
      <c r="E89" s="12"/>
      <c r="F89" s="12"/>
      <c r="G89" s="12"/>
      <c r="H89" s="12"/>
      <c r="I89" s="12"/>
    </row>
    <row r="90" spans="2:9" x14ac:dyDescent="0.3">
      <c r="D90" s="12"/>
      <c r="E90" s="12"/>
      <c r="F90" s="12"/>
      <c r="G90" s="12"/>
      <c r="H90" s="12"/>
      <c r="I90" s="12"/>
    </row>
    <row r="91" spans="2:9" x14ac:dyDescent="0.3">
      <c r="D91" s="12"/>
      <c r="E91" s="12"/>
      <c r="F91" s="12"/>
      <c r="G91" s="12"/>
      <c r="H91" s="12"/>
      <c r="I91" s="12"/>
    </row>
    <row r="92" spans="2:9" x14ac:dyDescent="0.3">
      <c r="D92" s="12"/>
      <c r="E92" s="12"/>
      <c r="F92" s="12"/>
      <c r="G92" s="12"/>
      <c r="H92" s="12"/>
      <c r="I92" s="12"/>
    </row>
    <row r="93" spans="2:9" x14ac:dyDescent="0.3">
      <c r="D93" s="12"/>
      <c r="E93" s="12"/>
      <c r="F93" s="12"/>
      <c r="G93" s="12"/>
      <c r="H93" s="12"/>
      <c r="I93" s="12"/>
    </row>
    <row r="94" spans="2:9" x14ac:dyDescent="0.3">
      <c r="B94" s="11"/>
      <c r="D94" s="34"/>
      <c r="E94" s="34"/>
      <c r="F94" s="34"/>
      <c r="G94" s="34"/>
      <c r="H94" s="34"/>
      <c r="I94" s="34"/>
    </row>
    <row r="96" spans="2:9" x14ac:dyDescent="0.3">
      <c r="B96" s="11"/>
    </row>
    <row r="97" spans="2:9" x14ac:dyDescent="0.3">
      <c r="D97" s="12"/>
      <c r="E97" s="12"/>
      <c r="F97" s="12"/>
      <c r="G97" s="12"/>
      <c r="H97" s="12"/>
      <c r="I97" s="12"/>
    </row>
    <row r="98" spans="2:9" x14ac:dyDescent="0.3">
      <c r="D98" s="12"/>
      <c r="E98" s="12"/>
      <c r="F98" s="12"/>
      <c r="G98" s="12"/>
      <c r="H98" s="12"/>
      <c r="I98" s="12"/>
    </row>
    <row r="99" spans="2:9" x14ac:dyDescent="0.3">
      <c r="D99" s="12"/>
      <c r="E99" s="12"/>
      <c r="F99" s="12"/>
      <c r="G99" s="12"/>
      <c r="H99" s="12"/>
      <c r="I99" s="12"/>
    </row>
    <row r="100" spans="2:9" x14ac:dyDescent="0.3">
      <c r="D100" s="12"/>
      <c r="E100" s="12"/>
      <c r="F100" s="12"/>
      <c r="G100" s="12"/>
      <c r="H100" s="12"/>
      <c r="I100" s="12"/>
    </row>
    <row r="101" spans="2:9" x14ac:dyDescent="0.3">
      <c r="D101" s="12"/>
      <c r="E101" s="12"/>
      <c r="F101" s="12"/>
      <c r="G101" s="12"/>
      <c r="H101" s="12"/>
      <c r="I101" s="12"/>
    </row>
    <row r="102" spans="2:9" x14ac:dyDescent="0.3">
      <c r="D102" s="12"/>
      <c r="E102" s="12"/>
      <c r="F102" s="12"/>
      <c r="G102" s="12"/>
      <c r="H102" s="12"/>
      <c r="I102" s="12"/>
    </row>
    <row r="103" spans="2:9" x14ac:dyDescent="0.3">
      <c r="D103" s="12"/>
      <c r="E103" s="12"/>
      <c r="F103" s="12"/>
      <c r="G103" s="12"/>
      <c r="H103" s="12"/>
      <c r="I103" s="12"/>
    </row>
    <row r="104" spans="2:9" x14ac:dyDescent="0.3">
      <c r="D104" s="12"/>
      <c r="E104" s="12"/>
      <c r="F104" s="12"/>
      <c r="G104" s="12"/>
      <c r="H104" s="12"/>
      <c r="I104" s="12"/>
    </row>
    <row r="105" spans="2:9" x14ac:dyDescent="0.3">
      <c r="B105" s="11"/>
      <c r="C105" s="11"/>
      <c r="D105" s="34"/>
      <c r="E105" s="34"/>
      <c r="F105" s="34"/>
      <c r="G105" s="34"/>
      <c r="H105" s="34"/>
      <c r="I105" s="34"/>
    </row>
    <row r="107" spans="2:9" x14ac:dyDescent="0.3">
      <c r="B107" s="11"/>
      <c r="D107" s="34"/>
      <c r="E107" s="34"/>
      <c r="F107" s="34"/>
      <c r="G107" s="34"/>
      <c r="H107" s="34"/>
      <c r="I107" s="34"/>
    </row>
  </sheetData>
  <mergeCells count="1">
    <mergeCell ref="B4:J4"/>
  </mergeCells>
  <pageMargins left="0.7" right="0.7" top="0.75" bottom="0.75" header="0.3" footer="0.3"/>
  <pageSetup orientation="portrait" r:id="rId1"/>
  <ignoredErrors>
    <ignoredError sqref="J8 J11 D17:J17 J23 J26 J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L96"/>
  <sheetViews>
    <sheetView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S81" sqref="S81"/>
    </sheetView>
  </sheetViews>
  <sheetFormatPr defaultColWidth="9.21875" defaultRowHeight="13.2" x14ac:dyDescent="0.25"/>
  <cols>
    <col min="1" max="1" width="25.21875" style="4" bestFit="1" customWidth="1"/>
    <col min="2" max="2" width="13.88671875" style="4" bestFit="1" customWidth="1"/>
    <col min="3" max="8" width="9.77734375" style="4" bestFit="1" customWidth="1"/>
    <col min="9" max="11" width="10.77734375" style="4" bestFit="1" customWidth="1"/>
    <col min="12" max="16384" width="9.21875" style="4"/>
  </cols>
  <sheetData>
    <row r="1" spans="1:11" s="3" customFormat="1" x14ac:dyDescent="0.25">
      <c r="A1" s="3" t="s">
        <v>0</v>
      </c>
      <c r="B1" s="3" t="s">
        <v>32</v>
      </c>
      <c r="E1" s="49" t="str">
        <f>IF(B2&lt;&gt;B3, "A NEW VERSION OF THE WORKSHEET IS AVAILABLE", "")</f>
        <v/>
      </c>
      <c r="F1" s="49"/>
      <c r="G1" s="49"/>
      <c r="H1" s="49"/>
      <c r="I1" s="49"/>
      <c r="J1" s="49"/>
      <c r="K1" s="49"/>
    </row>
    <row r="2" spans="1:11" x14ac:dyDescent="0.25">
      <c r="A2" s="3" t="s">
        <v>30</v>
      </c>
      <c r="B2" s="4">
        <v>2.1</v>
      </c>
      <c r="E2" s="50" t="s">
        <v>21</v>
      </c>
      <c r="F2" s="50"/>
      <c r="G2" s="50"/>
      <c r="H2" s="50"/>
      <c r="I2" s="50"/>
      <c r="J2" s="50"/>
      <c r="K2" s="50"/>
    </row>
    <row r="3" spans="1:11" x14ac:dyDescent="0.25">
      <c r="A3" s="3" t="s">
        <v>31</v>
      </c>
      <c r="B3" s="4">
        <v>2.1</v>
      </c>
    </row>
    <row r="4" spans="1:11" x14ac:dyDescent="0.25">
      <c r="A4" s="3"/>
    </row>
    <row r="5" spans="1:11" x14ac:dyDescent="0.25">
      <c r="A5" s="3" t="s">
        <v>33</v>
      </c>
    </row>
    <row r="6" spans="1:11" x14ac:dyDescent="0.25">
      <c r="A6" s="4" t="s">
        <v>27</v>
      </c>
      <c r="B6" s="4">
        <f>IF(B9&gt;0, B9/B8, 0)</f>
        <v>27.431419406176953</v>
      </c>
    </row>
    <row r="7" spans="1:11" x14ac:dyDescent="0.25">
      <c r="A7" s="4" t="s">
        <v>16</v>
      </c>
      <c r="B7" s="1">
        <v>1</v>
      </c>
    </row>
    <row r="8" spans="1:11" x14ac:dyDescent="0.25">
      <c r="A8" s="4" t="s">
        <v>28</v>
      </c>
      <c r="B8" s="1">
        <v>8042.8</v>
      </c>
    </row>
    <row r="9" spans="1:11" x14ac:dyDescent="0.25">
      <c r="A9" s="4" t="s">
        <v>43</v>
      </c>
      <c r="B9" s="1">
        <v>220625.42</v>
      </c>
    </row>
    <row r="15" spans="1:11" x14ac:dyDescent="0.25">
      <c r="A15" s="3" t="s">
        <v>22</v>
      </c>
    </row>
    <row r="16" spans="1:11" s="6" customFormat="1" x14ac:dyDescent="0.25">
      <c r="A16" s="5" t="s">
        <v>23</v>
      </c>
      <c r="B16" s="2">
        <v>42460</v>
      </c>
      <c r="C16" s="2">
        <v>42825</v>
      </c>
      <c r="D16" s="2">
        <v>43190</v>
      </c>
      <c r="E16" s="2">
        <v>43555</v>
      </c>
      <c r="F16" s="2">
        <v>43921</v>
      </c>
      <c r="G16" s="2">
        <v>44286</v>
      </c>
      <c r="H16" s="2">
        <v>44651</v>
      </c>
      <c r="I16" s="2">
        <v>45016</v>
      </c>
      <c r="J16" s="2">
        <v>45382</v>
      </c>
      <c r="K16" s="2">
        <v>45747</v>
      </c>
    </row>
    <row r="17" spans="1:11" x14ac:dyDescent="0.25">
      <c r="A17" s="4" t="s">
        <v>1</v>
      </c>
      <c r="B17" s="44">
        <v>6173.46</v>
      </c>
      <c r="C17" s="44">
        <v>7033.36</v>
      </c>
      <c r="D17" s="44">
        <v>8964.9599999999991</v>
      </c>
      <c r="E17" s="44">
        <v>9797.06</v>
      </c>
      <c r="F17" s="1">
        <v>9153.58</v>
      </c>
      <c r="G17" s="1">
        <v>8720.35</v>
      </c>
      <c r="H17" s="1">
        <v>10297.83</v>
      </c>
      <c r="I17" s="1">
        <v>14442.18</v>
      </c>
      <c r="J17" s="1">
        <v>16535.78</v>
      </c>
      <c r="K17" s="1">
        <v>18870.349999999999</v>
      </c>
    </row>
    <row r="18" spans="1:11" ht="14.4" x14ac:dyDescent="0.3">
      <c r="A18" s="4" t="s">
        <v>44</v>
      </c>
      <c r="B18" s="45">
        <v>3497.73</v>
      </c>
      <c r="C18" s="45">
        <v>3725.72</v>
      </c>
      <c r="D18" s="45">
        <v>4679.07</v>
      </c>
      <c r="E18" s="45">
        <v>5269.64</v>
      </c>
      <c r="F18">
        <v>4914.58</v>
      </c>
      <c r="G18">
        <v>5319.85</v>
      </c>
      <c r="H18">
        <v>6107.28</v>
      </c>
      <c r="I18">
        <v>8281.0400000000009</v>
      </c>
      <c r="J18">
        <v>9187.35</v>
      </c>
      <c r="K18">
        <v>10470.09</v>
      </c>
    </row>
    <row r="19" spans="1:11" ht="14.4" x14ac:dyDescent="0.3">
      <c r="A19" s="4" t="s">
        <v>45</v>
      </c>
      <c r="B19" s="45">
        <v>62.05</v>
      </c>
      <c r="C19" s="45">
        <v>19.61</v>
      </c>
      <c r="D19" s="45">
        <v>33.869999999999997</v>
      </c>
      <c r="E19" s="45">
        <v>210.16</v>
      </c>
      <c r="F19">
        <v>-84.09</v>
      </c>
      <c r="G19">
        <v>205.9</v>
      </c>
      <c r="H19">
        <v>148.59</v>
      </c>
      <c r="I19">
        <v>63.25</v>
      </c>
      <c r="J19">
        <v>197.03</v>
      </c>
      <c r="K19">
        <v>163.51</v>
      </c>
    </row>
    <row r="20" spans="1:11" x14ac:dyDescent="0.25">
      <c r="A20" s="4" t="s">
        <v>46</v>
      </c>
      <c r="B20" s="44">
        <v>46.18</v>
      </c>
      <c r="C20" s="44">
        <v>46.02</v>
      </c>
      <c r="D20" s="44">
        <v>52.41</v>
      </c>
      <c r="E20" s="44">
        <v>66.959999999999994</v>
      </c>
      <c r="F20" s="1">
        <v>62.86</v>
      </c>
      <c r="G20" s="1">
        <v>52.98</v>
      </c>
      <c r="H20" s="1">
        <v>55.78</v>
      </c>
      <c r="I20" s="1">
        <v>72.97</v>
      </c>
      <c r="J20" s="1">
        <v>80.61</v>
      </c>
      <c r="K20" s="1">
        <v>89.53</v>
      </c>
    </row>
    <row r="21" spans="1:11" x14ac:dyDescent="0.25">
      <c r="A21" s="4" t="s">
        <v>47</v>
      </c>
      <c r="B21" s="44">
        <v>173.76</v>
      </c>
      <c r="C21" s="44">
        <v>173.09</v>
      </c>
      <c r="D21" s="44">
        <v>210.76</v>
      </c>
      <c r="E21" s="44">
        <v>263.49</v>
      </c>
      <c r="F21" s="1">
        <v>256.58</v>
      </c>
      <c r="G21" s="1">
        <v>250.85</v>
      </c>
      <c r="H21" s="1">
        <v>332.41</v>
      </c>
      <c r="I21" s="1">
        <v>397.21</v>
      </c>
      <c r="J21" s="1">
        <v>394.36</v>
      </c>
      <c r="K21" s="1">
        <v>453.77</v>
      </c>
    </row>
    <row r="22" spans="1:11" x14ac:dyDescent="0.25">
      <c r="A22" s="4" t="s">
        <v>48</v>
      </c>
      <c r="B22" s="44">
        <v>350.21</v>
      </c>
      <c r="C22" s="44">
        <v>426.28</v>
      </c>
      <c r="D22" s="44">
        <v>573.67999999999995</v>
      </c>
      <c r="E22" s="44">
        <v>702.44</v>
      </c>
      <c r="F22" s="1">
        <v>795.78</v>
      </c>
      <c r="G22" s="1">
        <v>843.23</v>
      </c>
      <c r="H22" s="1">
        <v>821.02</v>
      </c>
      <c r="I22" s="1">
        <v>1001.93</v>
      </c>
      <c r="J22" s="1">
        <v>1235.69</v>
      </c>
      <c r="K22" s="1">
        <v>1391.23</v>
      </c>
    </row>
    <row r="23" spans="1:11" x14ac:dyDescent="0.25">
      <c r="A23" s="4" t="s">
        <v>49</v>
      </c>
      <c r="B23" s="44">
        <v>397.4</v>
      </c>
      <c r="C23" s="44">
        <v>412.25</v>
      </c>
      <c r="D23" s="44">
        <v>565.66</v>
      </c>
      <c r="E23" s="44">
        <v>654.82000000000005</v>
      </c>
      <c r="F23" s="1">
        <v>667.16</v>
      </c>
      <c r="G23" s="1">
        <v>522.52</v>
      </c>
      <c r="H23" s="1">
        <v>815.51</v>
      </c>
      <c r="I23" s="1">
        <v>1164.58</v>
      </c>
      <c r="J23" s="1">
        <v>1293.02</v>
      </c>
      <c r="K23" s="1">
        <v>1669.63</v>
      </c>
    </row>
    <row r="24" spans="1:11" x14ac:dyDescent="0.25">
      <c r="A24" s="4" t="s">
        <v>50</v>
      </c>
      <c r="B24" s="44">
        <v>80.5</v>
      </c>
      <c r="C24" s="44">
        <v>95.3</v>
      </c>
      <c r="D24" s="44">
        <v>108.62</v>
      </c>
      <c r="E24" s="44">
        <v>145.63</v>
      </c>
      <c r="F24" s="1">
        <v>189.64</v>
      </c>
      <c r="G24" s="1">
        <v>153.59</v>
      </c>
      <c r="H24" s="1">
        <v>136.85</v>
      </c>
      <c r="I24" s="1">
        <v>141.97999999999999</v>
      </c>
      <c r="J24" s="1">
        <v>212.41</v>
      </c>
      <c r="K24" s="1">
        <v>237.04</v>
      </c>
    </row>
    <row r="25" spans="1:11" x14ac:dyDescent="0.25">
      <c r="A25" s="4" t="s">
        <v>4</v>
      </c>
      <c r="B25" s="44">
        <v>325.91000000000003</v>
      </c>
      <c r="C25" s="44">
        <v>416.44</v>
      </c>
      <c r="D25" s="44">
        <v>535.66</v>
      </c>
      <c r="E25" s="44">
        <v>700.66</v>
      </c>
      <c r="F25" s="1">
        <v>572.41999999999996</v>
      </c>
      <c r="G25" s="1">
        <v>482.34</v>
      </c>
      <c r="H25" s="1">
        <v>495.65</v>
      </c>
      <c r="I25" s="1">
        <v>908.14</v>
      </c>
      <c r="J25" s="1">
        <v>1521.13</v>
      </c>
      <c r="K25" s="1">
        <v>1994.17</v>
      </c>
    </row>
    <row r="26" spans="1:11" x14ac:dyDescent="0.25">
      <c r="A26" s="4" t="s">
        <v>5</v>
      </c>
      <c r="B26" s="44">
        <v>136.6</v>
      </c>
      <c r="C26" s="44">
        <v>153.81</v>
      </c>
      <c r="D26" s="44">
        <v>223.3</v>
      </c>
      <c r="E26" s="44">
        <v>300.27999999999997</v>
      </c>
      <c r="F26" s="1">
        <v>381.54</v>
      </c>
      <c r="G26" s="1">
        <v>450.73</v>
      </c>
      <c r="H26" s="1">
        <v>451.93</v>
      </c>
      <c r="I26" s="1">
        <v>526.21</v>
      </c>
      <c r="J26" s="1">
        <v>597.6</v>
      </c>
      <c r="K26" s="1">
        <v>729.33</v>
      </c>
    </row>
    <row r="27" spans="1:11" ht="14.4" x14ac:dyDescent="0.3">
      <c r="A27" s="4" t="s">
        <v>6</v>
      </c>
      <c r="B27" s="44">
        <v>2.12</v>
      </c>
      <c r="C27" s="44">
        <v>3.56</v>
      </c>
      <c r="D27" s="44">
        <v>5.34</v>
      </c>
      <c r="E27" s="44">
        <v>7.33</v>
      </c>
      <c r="F27" s="1">
        <v>18.88</v>
      </c>
      <c r="G27" s="1">
        <v>16.45</v>
      </c>
      <c r="H27" s="1">
        <v>18.78</v>
      </c>
      <c r="I27" s="1">
        <v>28.02</v>
      </c>
      <c r="J27">
        <v>50.88</v>
      </c>
      <c r="K27">
        <v>54.34</v>
      </c>
    </row>
    <row r="28" spans="1:11" x14ac:dyDescent="0.25">
      <c r="A28" s="4" t="s">
        <v>7</v>
      </c>
      <c r="B28" s="44">
        <v>1876.92</v>
      </c>
      <c r="C28" s="44">
        <v>2433.38</v>
      </c>
      <c r="D28" s="44">
        <v>3115.65</v>
      </c>
      <c r="E28" s="44">
        <v>3297.29</v>
      </c>
      <c r="F28" s="1">
        <v>2354.89</v>
      </c>
      <c r="G28" s="1">
        <v>1798.39</v>
      </c>
      <c r="H28" s="1">
        <v>2202.5100000000002</v>
      </c>
      <c r="I28" s="1">
        <v>3799.63</v>
      </c>
      <c r="J28" s="1">
        <v>5202.0200000000004</v>
      </c>
      <c r="K28" s="1">
        <v>5933.07</v>
      </c>
    </row>
    <row r="29" spans="1:11" x14ac:dyDescent="0.25">
      <c r="A29" s="4" t="s">
        <v>8</v>
      </c>
      <c r="B29" s="44">
        <v>538.88</v>
      </c>
      <c r="C29" s="44">
        <v>720.3</v>
      </c>
      <c r="D29" s="44">
        <v>935.93</v>
      </c>
      <c r="E29" s="44">
        <v>1077.04</v>
      </c>
      <c r="F29" s="1">
        <v>527.45000000000005</v>
      </c>
      <c r="G29" s="1">
        <v>451.5</v>
      </c>
      <c r="H29" s="1">
        <v>525.91</v>
      </c>
      <c r="I29" s="1">
        <v>885.69</v>
      </c>
      <c r="J29" s="1">
        <v>1201.01</v>
      </c>
      <c r="K29" s="1">
        <v>1198.6300000000001</v>
      </c>
    </row>
    <row r="30" spans="1:11" x14ac:dyDescent="0.25">
      <c r="A30" s="4" t="s">
        <v>9</v>
      </c>
      <c r="B30" s="44">
        <v>1338.04</v>
      </c>
      <c r="C30" s="44">
        <v>1667.08</v>
      </c>
      <c r="D30" s="44">
        <v>1959.67</v>
      </c>
      <c r="E30" s="44">
        <v>2202.73</v>
      </c>
      <c r="F30" s="1">
        <v>1827.44</v>
      </c>
      <c r="G30" s="1">
        <v>1346.89</v>
      </c>
      <c r="H30" s="1">
        <v>1676.6</v>
      </c>
      <c r="I30" s="1">
        <v>2913.94</v>
      </c>
      <c r="J30" s="1">
        <v>4001.01</v>
      </c>
      <c r="K30" s="1">
        <v>4734.4399999999996</v>
      </c>
    </row>
    <row r="31" spans="1:11" x14ac:dyDescent="0.25">
      <c r="A31" s="4" t="s">
        <v>34</v>
      </c>
      <c r="B31" s="44">
        <v>271.60000000000002</v>
      </c>
      <c r="C31" s="44">
        <v>272.10000000000002</v>
      </c>
      <c r="D31" s="44">
        <v>299.86</v>
      </c>
      <c r="E31" s="44">
        <v>341</v>
      </c>
      <c r="F31" s="1">
        <v>341.25</v>
      </c>
      <c r="G31" s="1">
        <v>464.61</v>
      </c>
      <c r="H31" s="1">
        <v>574.14</v>
      </c>
      <c r="I31" s="1">
        <v>1011.95</v>
      </c>
      <c r="J31" s="1">
        <v>1396.38</v>
      </c>
      <c r="K31" s="1">
        <v>1919.4</v>
      </c>
    </row>
    <row r="32" spans="1:11" x14ac:dyDescent="0.25">
      <c r="B32" s="26"/>
      <c r="C32" s="26"/>
      <c r="D32" s="26"/>
      <c r="E32" s="26"/>
    </row>
    <row r="33" spans="1:11" x14ac:dyDescent="0.25">
      <c r="B33" s="26"/>
      <c r="C33" s="26"/>
      <c r="D33" s="26"/>
      <c r="E33" s="26"/>
    </row>
    <row r="34" spans="1:11" x14ac:dyDescent="0.25">
      <c r="B34" s="26"/>
      <c r="C34" s="26"/>
      <c r="D34" s="26"/>
      <c r="E34" s="26"/>
    </row>
    <row r="35" spans="1:11" x14ac:dyDescent="0.25">
      <c r="B35" s="26"/>
      <c r="C35" s="26"/>
      <c r="D35" s="26"/>
      <c r="E35" s="26"/>
    </row>
    <row r="36" spans="1:11" x14ac:dyDescent="0.25">
      <c r="B36" s="26"/>
      <c r="C36" s="26"/>
      <c r="D36" s="26"/>
      <c r="E36" s="26"/>
    </row>
    <row r="37" spans="1:11" x14ac:dyDescent="0.25">
      <c r="B37" s="26"/>
      <c r="C37" s="26"/>
      <c r="D37" s="26"/>
      <c r="E37" s="26"/>
    </row>
    <row r="38" spans="1:11" x14ac:dyDescent="0.25">
      <c r="B38" s="26"/>
      <c r="C38" s="26"/>
      <c r="D38" s="26"/>
      <c r="E38" s="26"/>
    </row>
    <row r="39" spans="1:11" x14ac:dyDescent="0.25">
      <c r="B39" s="26"/>
      <c r="C39" s="26"/>
      <c r="D39" s="26"/>
      <c r="E39" s="26"/>
    </row>
    <row r="40" spans="1:11" x14ac:dyDescent="0.25">
      <c r="A40" s="3" t="s">
        <v>24</v>
      </c>
      <c r="B40" s="26"/>
      <c r="C40" s="26"/>
      <c r="D40" s="26"/>
      <c r="E40" s="26"/>
    </row>
    <row r="41" spans="1:11" s="6" customFormat="1" x14ac:dyDescent="0.25">
      <c r="A41" s="5" t="s">
        <v>23</v>
      </c>
      <c r="B41" s="2">
        <v>45199</v>
      </c>
      <c r="C41" s="2">
        <v>45291</v>
      </c>
      <c r="D41" s="2">
        <v>45382</v>
      </c>
      <c r="E41" s="2">
        <v>45473</v>
      </c>
      <c r="F41" s="2">
        <v>45565</v>
      </c>
      <c r="G41" s="2">
        <v>45657</v>
      </c>
      <c r="H41" s="2">
        <v>45747</v>
      </c>
      <c r="I41" s="2">
        <v>45838</v>
      </c>
      <c r="J41" s="2">
        <v>45930</v>
      </c>
      <c r="K41" s="2">
        <v>46022</v>
      </c>
    </row>
    <row r="42" spans="1:11" x14ac:dyDescent="0.25">
      <c r="A42" s="4" t="s">
        <v>1</v>
      </c>
      <c r="B42" s="44">
        <v>4114.53</v>
      </c>
      <c r="C42" s="44">
        <v>4178.84</v>
      </c>
      <c r="D42" s="44">
        <v>4256.04</v>
      </c>
      <c r="E42" s="44">
        <v>4393.05</v>
      </c>
      <c r="F42" s="1">
        <v>4263.07</v>
      </c>
      <c r="G42" s="1">
        <v>4973.12</v>
      </c>
      <c r="H42" s="1">
        <v>5241.1099999999997</v>
      </c>
      <c r="I42" s="1">
        <v>5041.84</v>
      </c>
      <c r="J42" s="1">
        <v>6171.59</v>
      </c>
      <c r="K42" s="1">
        <v>6114.04</v>
      </c>
    </row>
    <row r="43" spans="1:11" x14ac:dyDescent="0.25">
      <c r="A43" s="4" t="s">
        <v>2</v>
      </c>
      <c r="B43" s="44">
        <v>3027.37</v>
      </c>
      <c r="C43" s="44">
        <v>3088.57</v>
      </c>
      <c r="D43" s="44">
        <v>3127.4</v>
      </c>
      <c r="E43" s="44">
        <v>3227.62</v>
      </c>
      <c r="F43" s="1">
        <v>3175.35</v>
      </c>
      <c r="G43" s="1">
        <v>3771.93</v>
      </c>
      <c r="H43" s="1">
        <v>3983.42</v>
      </c>
      <c r="I43" s="1">
        <v>3839.06</v>
      </c>
      <c r="J43" s="1">
        <v>4659.6899999999996</v>
      </c>
      <c r="K43" s="1">
        <v>4557.32</v>
      </c>
    </row>
    <row r="44" spans="1:11" x14ac:dyDescent="0.25">
      <c r="A44" s="4" t="s">
        <v>4</v>
      </c>
      <c r="B44" s="44">
        <v>375.4</v>
      </c>
      <c r="C44" s="44">
        <v>367.58</v>
      </c>
      <c r="D44" s="44">
        <v>436.96</v>
      </c>
      <c r="E44" s="44">
        <v>456.51</v>
      </c>
      <c r="F44" s="1">
        <v>467.53</v>
      </c>
      <c r="G44" s="1">
        <v>452.29</v>
      </c>
      <c r="H44" s="1">
        <v>628.38</v>
      </c>
      <c r="I44" s="1">
        <v>603.16999999999996</v>
      </c>
      <c r="J44" s="1">
        <v>485.83</v>
      </c>
      <c r="K44" s="1">
        <v>464.85</v>
      </c>
    </row>
    <row r="45" spans="1:11" x14ac:dyDescent="0.25">
      <c r="A45" s="4" t="s">
        <v>5</v>
      </c>
      <c r="B45" s="44">
        <v>142.54</v>
      </c>
      <c r="C45" s="44">
        <v>147.54</v>
      </c>
      <c r="D45" s="44">
        <v>165.25</v>
      </c>
      <c r="E45" s="44">
        <v>168.63</v>
      </c>
      <c r="F45" s="1">
        <v>180.06</v>
      </c>
      <c r="G45" s="1">
        <v>179.27</v>
      </c>
      <c r="H45" s="1">
        <v>201.37</v>
      </c>
      <c r="I45" s="1">
        <v>198.06</v>
      </c>
      <c r="J45" s="1">
        <v>199.56</v>
      </c>
      <c r="K45" s="1">
        <v>211.1</v>
      </c>
    </row>
    <row r="46" spans="1:11" ht="14.4" x14ac:dyDescent="0.3">
      <c r="A46" s="4" t="s">
        <v>6</v>
      </c>
      <c r="B46" s="45">
        <v>12.68</v>
      </c>
      <c r="C46" s="45">
        <v>12.43</v>
      </c>
      <c r="D46" s="45">
        <v>15.34</v>
      </c>
      <c r="E46" s="45">
        <v>12.27</v>
      </c>
      <c r="F46">
        <v>13.14</v>
      </c>
      <c r="G46">
        <v>13.39</v>
      </c>
      <c r="H46">
        <v>15.54</v>
      </c>
      <c r="I46">
        <v>14.9</v>
      </c>
      <c r="J46">
        <v>19.16</v>
      </c>
      <c r="K46">
        <v>17.27</v>
      </c>
    </row>
    <row r="47" spans="1:11" x14ac:dyDescent="0.25">
      <c r="A47" s="4" t="s">
        <v>7</v>
      </c>
      <c r="B47" s="44">
        <v>1307.3399999999999</v>
      </c>
      <c r="C47" s="44">
        <v>1297.8800000000001</v>
      </c>
      <c r="D47" s="44">
        <v>1385.01</v>
      </c>
      <c r="E47" s="44">
        <v>1441.04</v>
      </c>
      <c r="F47" s="1">
        <v>1362.05</v>
      </c>
      <c r="G47" s="1">
        <v>1460.82</v>
      </c>
      <c r="H47" s="1">
        <v>1669.16</v>
      </c>
      <c r="I47" s="1">
        <v>1592.99</v>
      </c>
      <c r="J47" s="1">
        <v>1779.01</v>
      </c>
      <c r="K47" s="1">
        <v>1793.2</v>
      </c>
    </row>
    <row r="48" spans="1:11" x14ac:dyDescent="0.25">
      <c r="A48" s="4" t="s">
        <v>8</v>
      </c>
      <c r="B48" s="44">
        <v>291.08999999999997</v>
      </c>
      <c r="C48" s="44">
        <v>301.91000000000003</v>
      </c>
      <c r="D48" s="44">
        <v>314.56</v>
      </c>
      <c r="E48" s="44">
        <v>339.58</v>
      </c>
      <c r="F48" s="1">
        <v>261.72000000000003</v>
      </c>
      <c r="G48" s="1">
        <v>290.32</v>
      </c>
      <c r="H48" s="1">
        <v>307.01</v>
      </c>
      <c r="I48" s="1">
        <v>387.77</v>
      </c>
      <c r="J48" s="1">
        <v>409.56</v>
      </c>
      <c r="K48" s="1">
        <v>372.59</v>
      </c>
    </row>
    <row r="49" spans="1:11" x14ac:dyDescent="0.25">
      <c r="A49" s="4" t="s">
        <v>9</v>
      </c>
      <c r="B49" s="44">
        <v>1016.25</v>
      </c>
      <c r="C49" s="44">
        <v>995.97</v>
      </c>
      <c r="D49" s="44">
        <v>1070.45</v>
      </c>
      <c r="E49" s="44">
        <v>1101.46</v>
      </c>
      <c r="F49" s="1">
        <v>1100.33</v>
      </c>
      <c r="G49" s="1">
        <v>1170.5</v>
      </c>
      <c r="H49" s="1">
        <v>1362.15</v>
      </c>
      <c r="I49" s="1">
        <v>1205.22</v>
      </c>
      <c r="J49" s="1">
        <v>1369.45</v>
      </c>
      <c r="K49" s="1">
        <v>1420.61</v>
      </c>
    </row>
    <row r="50" spans="1:11" x14ac:dyDescent="0.25">
      <c r="A50" s="4" t="s">
        <v>3</v>
      </c>
      <c r="B50" s="44">
        <v>1087.1600000000001</v>
      </c>
      <c r="C50" s="44">
        <v>1090.27</v>
      </c>
      <c r="D50" s="44">
        <v>1128.6400000000001</v>
      </c>
      <c r="E50" s="44">
        <v>1165.43</v>
      </c>
      <c r="F50" s="1">
        <v>1087.72</v>
      </c>
      <c r="G50" s="1">
        <v>1201.19</v>
      </c>
      <c r="H50" s="1">
        <v>1257.69</v>
      </c>
      <c r="I50" s="1">
        <v>1202.78</v>
      </c>
      <c r="J50" s="1">
        <v>1511.9</v>
      </c>
      <c r="K50" s="1">
        <v>1556.72</v>
      </c>
    </row>
    <row r="51" spans="1:11" x14ac:dyDescent="0.25">
      <c r="B51" s="26"/>
      <c r="C51" s="26"/>
      <c r="D51" s="26"/>
      <c r="E51" s="26"/>
    </row>
    <row r="52" spans="1:11" x14ac:dyDescent="0.25">
      <c r="B52" s="26"/>
      <c r="C52" s="26"/>
      <c r="D52" s="26"/>
      <c r="E52" s="26"/>
    </row>
    <row r="53" spans="1:11" x14ac:dyDescent="0.25">
      <c r="B53" s="26"/>
      <c r="C53" s="26"/>
      <c r="D53" s="26"/>
      <c r="E53" s="26"/>
    </row>
    <row r="54" spans="1:11" x14ac:dyDescent="0.25">
      <c r="B54" s="26"/>
      <c r="C54" s="26"/>
      <c r="D54" s="26"/>
      <c r="E54" s="26"/>
    </row>
    <row r="55" spans="1:11" x14ac:dyDescent="0.25">
      <c r="A55" s="3" t="s">
        <v>25</v>
      </c>
      <c r="B55" s="26"/>
      <c r="C55" s="26"/>
      <c r="D55" s="26"/>
      <c r="E55" s="26"/>
    </row>
    <row r="56" spans="1:11" s="6" customFormat="1" x14ac:dyDescent="0.25">
      <c r="A56" s="5" t="s">
        <v>23</v>
      </c>
      <c r="B56" s="2">
        <v>42460</v>
      </c>
      <c r="C56" s="2">
        <v>42825</v>
      </c>
      <c r="D56" s="2">
        <v>43190</v>
      </c>
      <c r="E56" s="2">
        <v>43555</v>
      </c>
      <c r="F56" s="2">
        <v>43921</v>
      </c>
      <c r="G56" s="2">
        <v>44286</v>
      </c>
      <c r="H56" s="2">
        <v>44651</v>
      </c>
      <c r="I56" s="2">
        <v>45016</v>
      </c>
      <c r="J56" s="2">
        <v>45382</v>
      </c>
      <c r="K56" s="2">
        <v>45747</v>
      </c>
    </row>
    <row r="57" spans="1:11" x14ac:dyDescent="0.25">
      <c r="A57" s="4" t="s">
        <v>10</v>
      </c>
      <c r="B57" s="44">
        <v>27.16</v>
      </c>
      <c r="C57" s="44">
        <v>27.21</v>
      </c>
      <c r="D57" s="44">
        <v>27.26</v>
      </c>
      <c r="E57" s="44">
        <v>27.28</v>
      </c>
      <c r="F57" s="1">
        <v>27.3</v>
      </c>
      <c r="G57" s="1">
        <v>27.33</v>
      </c>
      <c r="H57" s="1">
        <v>27.34</v>
      </c>
      <c r="I57" s="1">
        <v>27.35</v>
      </c>
      <c r="J57" s="1">
        <v>27.38</v>
      </c>
      <c r="K57" s="1">
        <v>27.42</v>
      </c>
    </row>
    <row r="58" spans="1:11" x14ac:dyDescent="0.25">
      <c r="A58" s="4" t="s">
        <v>11</v>
      </c>
      <c r="B58" s="44">
        <v>3625.93</v>
      </c>
      <c r="C58" s="44">
        <v>5317.86</v>
      </c>
      <c r="D58" s="44">
        <v>7002.81</v>
      </c>
      <c r="E58" s="44">
        <v>8891.44</v>
      </c>
      <c r="F58" s="1">
        <v>9953.6299999999992</v>
      </c>
      <c r="G58" s="1">
        <v>11410.75</v>
      </c>
      <c r="H58" s="1">
        <v>12580.66</v>
      </c>
      <c r="I58" s="1">
        <v>14962.93</v>
      </c>
      <c r="J58" s="1">
        <v>18018.150000000001</v>
      </c>
      <c r="K58" s="1">
        <v>21269.07</v>
      </c>
    </row>
    <row r="59" spans="1:11" ht="14.4" x14ac:dyDescent="0.3">
      <c r="A59" s="4" t="s">
        <v>35</v>
      </c>
      <c r="B59" s="45">
        <v>22.57</v>
      </c>
      <c r="C59" s="45">
        <v>111.85</v>
      </c>
      <c r="D59" s="45">
        <v>150.84</v>
      </c>
      <c r="E59" s="45">
        <v>186.76</v>
      </c>
      <c r="F59">
        <v>249</v>
      </c>
      <c r="G59">
        <v>219.25</v>
      </c>
      <c r="H59">
        <v>107.71</v>
      </c>
      <c r="I59">
        <v>288.41000000000003</v>
      </c>
      <c r="J59">
        <v>419.44</v>
      </c>
      <c r="K59">
        <v>458.13</v>
      </c>
    </row>
    <row r="60" spans="1:11" x14ac:dyDescent="0.25">
      <c r="A60" s="4" t="s">
        <v>36</v>
      </c>
      <c r="B60" s="44">
        <v>1263.3499999999999</v>
      </c>
      <c r="C60" s="44">
        <v>1552.16</v>
      </c>
      <c r="D60" s="44">
        <v>2341.3200000000002</v>
      </c>
      <c r="E60" s="44">
        <v>2281.35</v>
      </c>
      <c r="F60" s="1">
        <v>2219.79</v>
      </c>
      <c r="G60" s="1">
        <v>2901.28</v>
      </c>
      <c r="H60" s="1">
        <v>3424.12</v>
      </c>
      <c r="I60" s="1">
        <v>3918.95</v>
      </c>
      <c r="J60" s="1">
        <v>4650.16</v>
      </c>
      <c r="K60" s="1">
        <v>5419.79</v>
      </c>
    </row>
    <row r="61" spans="1:11" s="3" customFormat="1" x14ac:dyDescent="0.25">
      <c r="A61" s="3" t="s">
        <v>12</v>
      </c>
      <c r="B61" s="44">
        <v>4939.01</v>
      </c>
      <c r="C61" s="44">
        <v>7009.08</v>
      </c>
      <c r="D61" s="44">
        <v>9522.23</v>
      </c>
      <c r="E61" s="44">
        <v>11386.83</v>
      </c>
      <c r="F61" s="1">
        <v>12449.72</v>
      </c>
      <c r="G61" s="1">
        <v>14558.61</v>
      </c>
      <c r="H61" s="1">
        <v>16139.83</v>
      </c>
      <c r="I61" s="1">
        <v>19197.64</v>
      </c>
      <c r="J61" s="1">
        <v>23115.13</v>
      </c>
      <c r="K61" s="1">
        <v>27174.41</v>
      </c>
    </row>
    <row r="62" spans="1:11" x14ac:dyDescent="0.25">
      <c r="A62" s="4" t="s">
        <v>13</v>
      </c>
      <c r="B62" s="44">
        <v>789.59</v>
      </c>
      <c r="C62" s="44">
        <v>872.78</v>
      </c>
      <c r="D62" s="44">
        <v>1501.69</v>
      </c>
      <c r="E62" s="44">
        <v>1874.58</v>
      </c>
      <c r="F62" s="1">
        <v>2377.52</v>
      </c>
      <c r="G62" s="1">
        <v>2433.3000000000002</v>
      </c>
      <c r="H62" s="1">
        <v>2424.2800000000002</v>
      </c>
      <c r="I62" s="1">
        <v>2689.99</v>
      </c>
      <c r="J62" s="1">
        <v>2914.38</v>
      </c>
      <c r="K62" s="1">
        <v>3473.47</v>
      </c>
    </row>
    <row r="63" spans="1:11" x14ac:dyDescent="0.25">
      <c r="A63" s="4" t="s">
        <v>14</v>
      </c>
      <c r="B63" s="44">
        <v>94.48</v>
      </c>
      <c r="C63" s="44">
        <v>373.77</v>
      </c>
      <c r="D63" s="44">
        <v>333.21</v>
      </c>
      <c r="E63" s="44">
        <v>449.74</v>
      </c>
      <c r="F63" s="1">
        <v>312.17</v>
      </c>
      <c r="G63" s="1">
        <v>314.29000000000002</v>
      </c>
      <c r="H63" s="1">
        <v>504.78</v>
      </c>
      <c r="I63" s="1">
        <v>472.07</v>
      </c>
      <c r="J63" s="1">
        <v>555.1</v>
      </c>
      <c r="K63" s="1">
        <v>491.47</v>
      </c>
    </row>
    <row r="64" spans="1:11" ht="14.4" x14ac:dyDescent="0.3">
      <c r="A64" s="4" t="s">
        <v>15</v>
      </c>
      <c r="B64" s="44">
        <v>3388.24</v>
      </c>
      <c r="C64" s="45">
        <v>4987.13</v>
      </c>
      <c r="D64" s="44">
        <v>5580.84</v>
      </c>
      <c r="E64" s="44">
        <v>4922.5200000000004</v>
      </c>
      <c r="F64" s="1">
        <v>5748.77</v>
      </c>
      <c r="G64" s="1">
        <v>3902.14</v>
      </c>
      <c r="H64" s="1">
        <v>7720.58</v>
      </c>
      <c r="I64" s="1">
        <v>12320.66</v>
      </c>
      <c r="J64" s="1">
        <v>13526.96</v>
      </c>
      <c r="K64" s="1">
        <v>14790.9</v>
      </c>
    </row>
    <row r="65" spans="1:11" x14ac:dyDescent="0.25">
      <c r="A65" s="4" t="s">
        <v>37</v>
      </c>
      <c r="B65" s="44">
        <v>666.7</v>
      </c>
      <c r="C65" s="44">
        <v>775.4</v>
      </c>
      <c r="D65" s="44">
        <v>2106.4899999999998</v>
      </c>
      <c r="E65" s="44">
        <v>4139.99</v>
      </c>
      <c r="F65" s="1">
        <v>4011.26</v>
      </c>
      <c r="G65" s="1">
        <v>7908.88</v>
      </c>
      <c r="H65" s="1">
        <v>5490.19</v>
      </c>
      <c r="I65" s="1">
        <v>3714.92</v>
      </c>
      <c r="J65" s="1">
        <v>6118.69</v>
      </c>
      <c r="K65" s="1">
        <v>8418.57</v>
      </c>
    </row>
    <row r="66" spans="1:11" s="3" customFormat="1" x14ac:dyDescent="0.25">
      <c r="A66" s="3" t="s">
        <v>12</v>
      </c>
      <c r="B66" s="44">
        <v>4939.01</v>
      </c>
      <c r="C66" s="44">
        <v>7009.08</v>
      </c>
      <c r="D66" s="44">
        <v>9522.23</v>
      </c>
      <c r="E66" s="44">
        <v>11386.83</v>
      </c>
      <c r="F66" s="1">
        <v>12449.72</v>
      </c>
      <c r="G66" s="1">
        <v>14558.61</v>
      </c>
      <c r="H66" s="1">
        <v>16139.83</v>
      </c>
      <c r="I66" s="1">
        <v>19197.64</v>
      </c>
      <c r="J66" s="1">
        <v>23115.13</v>
      </c>
      <c r="K66" s="1">
        <v>27174.41</v>
      </c>
    </row>
    <row r="67" spans="1:11" x14ac:dyDescent="0.25">
      <c r="A67" s="4" t="s">
        <v>42</v>
      </c>
      <c r="B67" s="44">
        <v>32.64</v>
      </c>
      <c r="C67" s="44">
        <v>50.04</v>
      </c>
      <c r="D67" s="44">
        <v>68</v>
      </c>
      <c r="E67" s="44">
        <v>84.29</v>
      </c>
      <c r="F67" s="1">
        <v>86.76</v>
      </c>
      <c r="G67" s="1">
        <v>158.16</v>
      </c>
      <c r="H67" s="1">
        <v>302.04000000000002</v>
      </c>
      <c r="I67" s="1">
        <v>368.92</v>
      </c>
      <c r="J67" s="1">
        <v>373.78</v>
      </c>
      <c r="K67" s="1">
        <v>549.64</v>
      </c>
    </row>
    <row r="68" spans="1:11" ht="14.4" x14ac:dyDescent="0.3">
      <c r="A68" s="4" t="s">
        <v>29</v>
      </c>
      <c r="B68" s="45">
        <v>308.39</v>
      </c>
      <c r="C68" s="45">
        <v>335.9</v>
      </c>
      <c r="D68" s="45">
        <v>394.64</v>
      </c>
      <c r="E68" s="45">
        <v>633.38</v>
      </c>
      <c r="F68">
        <v>572.35</v>
      </c>
      <c r="G68">
        <v>874.6</v>
      </c>
      <c r="H68">
        <v>1132.4000000000001</v>
      </c>
      <c r="I68">
        <v>1278.44</v>
      </c>
      <c r="J68">
        <v>1409.64</v>
      </c>
      <c r="K68">
        <v>1563.75</v>
      </c>
    </row>
    <row r="69" spans="1:11" x14ac:dyDescent="0.25">
      <c r="A69" s="4" t="s">
        <v>51</v>
      </c>
      <c r="B69" s="44">
        <v>49.17</v>
      </c>
      <c r="C69" s="44">
        <v>25.06</v>
      </c>
      <c r="D69" s="44">
        <v>1212</v>
      </c>
      <c r="E69" s="44">
        <v>2965.29</v>
      </c>
      <c r="F69" s="1">
        <v>2950.59</v>
      </c>
      <c r="G69" s="1">
        <v>5830.36</v>
      </c>
      <c r="H69" s="1">
        <v>2722.47</v>
      </c>
      <c r="I69" s="1">
        <v>765.58</v>
      </c>
      <c r="J69" s="1">
        <v>146.31</v>
      </c>
      <c r="K69" s="1">
        <v>263.01</v>
      </c>
    </row>
    <row r="70" spans="1:11" x14ac:dyDescent="0.25">
      <c r="A70" s="4" t="s">
        <v>38</v>
      </c>
      <c r="B70" s="44">
        <v>27161183</v>
      </c>
      <c r="C70" s="44">
        <v>27210249</v>
      </c>
      <c r="D70" s="44">
        <v>27255549</v>
      </c>
      <c r="E70" s="44">
        <v>27282570</v>
      </c>
      <c r="F70" s="1">
        <v>27304570</v>
      </c>
      <c r="G70" s="1">
        <v>273335922</v>
      </c>
      <c r="H70" s="1">
        <v>273423102</v>
      </c>
      <c r="I70" s="1">
        <v>273481570</v>
      </c>
      <c r="J70" s="1">
        <v>273805630</v>
      </c>
      <c r="K70" s="1">
        <v>274164080</v>
      </c>
    </row>
    <row r="71" spans="1:11" x14ac:dyDescent="0.25">
      <c r="A71" s="4" t="s">
        <v>39</v>
      </c>
      <c r="B71" s="26"/>
      <c r="C71" s="26"/>
      <c r="D71" s="26"/>
      <c r="E71" s="26"/>
    </row>
    <row r="72" spans="1:11" x14ac:dyDescent="0.25">
      <c r="A72" s="4" t="s">
        <v>52</v>
      </c>
      <c r="B72" s="44">
        <v>10</v>
      </c>
      <c r="C72" s="44">
        <v>10</v>
      </c>
      <c r="D72" s="44">
        <v>10</v>
      </c>
      <c r="E72" s="44">
        <v>10</v>
      </c>
      <c r="F72" s="1">
        <v>10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</row>
    <row r="73" spans="1:11" x14ac:dyDescent="0.25">
      <c r="B73" s="26"/>
      <c r="C73" s="26"/>
      <c r="D73" s="26"/>
      <c r="E73" s="26"/>
    </row>
    <row r="74" spans="1:11" x14ac:dyDescent="0.25">
      <c r="B74" s="26"/>
      <c r="C74" s="26"/>
      <c r="D74" s="26"/>
      <c r="E74" s="26"/>
    </row>
    <row r="75" spans="1:11" x14ac:dyDescent="0.25">
      <c r="B75" s="26"/>
      <c r="C75" s="26"/>
      <c r="D75" s="26"/>
      <c r="E75" s="26"/>
    </row>
    <row r="76" spans="1:11" x14ac:dyDescent="0.25">
      <c r="B76" s="26"/>
      <c r="C76" s="26"/>
      <c r="D76" s="26"/>
      <c r="E76" s="26"/>
    </row>
    <row r="77" spans="1:11" x14ac:dyDescent="0.25">
      <c r="B77" s="26"/>
      <c r="C77" s="26"/>
      <c r="D77" s="26"/>
      <c r="E77" s="26"/>
    </row>
    <row r="78" spans="1:11" x14ac:dyDescent="0.25">
      <c r="B78" s="26"/>
      <c r="C78" s="26"/>
      <c r="D78" s="26"/>
      <c r="E78" s="26"/>
    </row>
    <row r="79" spans="1:11" x14ac:dyDescent="0.25">
      <c r="B79" s="26"/>
      <c r="C79" s="26"/>
      <c r="D79" s="26"/>
      <c r="E79" s="26"/>
    </row>
    <row r="80" spans="1:11" x14ac:dyDescent="0.25">
      <c r="A80" s="3" t="s">
        <v>26</v>
      </c>
      <c r="B80" s="26"/>
      <c r="C80" s="26"/>
      <c r="D80" s="26"/>
      <c r="E80" s="26"/>
    </row>
    <row r="81" spans="1:12" s="6" customFormat="1" x14ac:dyDescent="0.25">
      <c r="A81" s="5" t="s">
        <v>23</v>
      </c>
      <c r="B81" s="2">
        <v>42460</v>
      </c>
      <c r="C81" s="2">
        <v>42825</v>
      </c>
      <c r="D81" s="2">
        <v>43190</v>
      </c>
      <c r="E81" s="2">
        <v>43555</v>
      </c>
      <c r="F81" s="2">
        <v>43921</v>
      </c>
      <c r="G81" s="2">
        <v>44286</v>
      </c>
      <c r="H81" s="2">
        <v>44651</v>
      </c>
      <c r="I81" s="2">
        <v>45016</v>
      </c>
      <c r="J81" s="2">
        <v>45382</v>
      </c>
      <c r="K81" s="2">
        <v>45747</v>
      </c>
      <c r="L81" s="2"/>
    </row>
    <row r="82" spans="1:12" s="3" customFormat="1" x14ac:dyDescent="0.25">
      <c r="A82" s="4" t="s">
        <v>17</v>
      </c>
      <c r="B82" s="44">
        <v>1463.08</v>
      </c>
      <c r="C82" s="44">
        <v>1707.97</v>
      </c>
      <c r="D82" s="44">
        <v>2482.25</v>
      </c>
      <c r="E82" s="44">
        <v>1575.47</v>
      </c>
      <c r="F82" s="1">
        <v>1694.12</v>
      </c>
      <c r="G82" s="1">
        <v>1690.97</v>
      </c>
      <c r="H82" s="1">
        <v>1527.04</v>
      </c>
      <c r="I82" s="1">
        <v>2822.66</v>
      </c>
      <c r="J82" s="1">
        <v>3723.71</v>
      </c>
      <c r="K82" s="1">
        <v>3979.92</v>
      </c>
    </row>
    <row r="83" spans="1:12" x14ac:dyDescent="0.25">
      <c r="A83" s="4" t="s">
        <v>18</v>
      </c>
      <c r="B83" s="44">
        <v>-1001.4</v>
      </c>
      <c r="C83" s="44">
        <v>-1743.58</v>
      </c>
      <c r="D83" s="44">
        <v>-2145.02</v>
      </c>
      <c r="E83" s="44">
        <v>-659.88</v>
      </c>
      <c r="F83" s="1">
        <v>-1508.41</v>
      </c>
      <c r="G83" s="1">
        <v>-1625.3</v>
      </c>
      <c r="H83" s="1">
        <v>-983.25</v>
      </c>
      <c r="I83" s="1">
        <v>-2396.8000000000002</v>
      </c>
      <c r="J83" s="1">
        <v>-2833.93</v>
      </c>
      <c r="K83" s="1">
        <v>-2460.6799999999998</v>
      </c>
    </row>
    <row r="84" spans="1:12" x14ac:dyDescent="0.25">
      <c r="A84" s="4" t="s">
        <v>19</v>
      </c>
      <c r="B84" s="44">
        <v>-465.52</v>
      </c>
      <c r="C84" s="44">
        <v>25.29</v>
      </c>
      <c r="D84" s="44">
        <v>-262.01</v>
      </c>
      <c r="E84" s="44">
        <v>-292.3</v>
      </c>
      <c r="F84" s="1">
        <v>-858.25</v>
      </c>
      <c r="G84" s="1">
        <v>-14.76</v>
      </c>
      <c r="H84" s="1">
        <v>-593.36</v>
      </c>
      <c r="I84" s="1">
        <v>-417.44</v>
      </c>
      <c r="J84" s="1">
        <v>-844.36</v>
      </c>
      <c r="K84" s="1">
        <v>-1398.67</v>
      </c>
    </row>
    <row r="85" spans="1:12" s="3" customFormat="1" x14ac:dyDescent="0.25">
      <c r="A85" s="4" t="s">
        <v>20</v>
      </c>
      <c r="B85" s="44">
        <v>-3.84</v>
      </c>
      <c r="C85" s="44">
        <v>-10.32</v>
      </c>
      <c r="D85" s="44">
        <v>75.22</v>
      </c>
      <c r="E85" s="44">
        <v>623.29</v>
      </c>
      <c r="F85" s="1">
        <v>-672.54</v>
      </c>
      <c r="G85" s="1">
        <v>50.91</v>
      </c>
      <c r="H85" s="1">
        <v>-49.57</v>
      </c>
      <c r="I85" s="1">
        <v>8.42</v>
      </c>
      <c r="J85" s="1">
        <v>45.42</v>
      </c>
      <c r="K85" s="1">
        <v>120.57</v>
      </c>
    </row>
    <row r="86" spans="1:12" x14ac:dyDescent="0.25">
      <c r="B86" s="26"/>
      <c r="C86" s="26"/>
      <c r="D86" s="26"/>
      <c r="E86" s="26"/>
    </row>
    <row r="87" spans="1:12" x14ac:dyDescent="0.25">
      <c r="B87" s="26"/>
      <c r="C87" s="26"/>
      <c r="D87" s="26"/>
      <c r="E87" s="26"/>
    </row>
    <row r="88" spans="1:12" x14ac:dyDescent="0.25">
      <c r="B88" s="26"/>
      <c r="C88" s="26"/>
      <c r="D88" s="26"/>
      <c r="E88" s="26"/>
    </row>
    <row r="89" spans="1:12" x14ac:dyDescent="0.25">
      <c r="B89" s="26"/>
      <c r="C89" s="26"/>
      <c r="D89" s="26"/>
      <c r="E89" s="26"/>
    </row>
    <row r="90" spans="1:12" s="3" customFormat="1" x14ac:dyDescent="0.25">
      <c r="A90" s="3" t="s">
        <v>41</v>
      </c>
      <c r="B90" s="44">
        <v>1918.06</v>
      </c>
      <c r="C90" s="44">
        <v>2558.75</v>
      </c>
      <c r="D90" s="44">
        <v>2837.27</v>
      </c>
      <c r="E90" s="44">
        <v>2054.77</v>
      </c>
      <c r="F90" s="1">
        <v>1309.5899999999999</v>
      </c>
      <c r="G90" s="1">
        <v>2603.9499999999998</v>
      </c>
      <c r="H90" s="1">
        <v>2457.15</v>
      </c>
      <c r="I90" s="1">
        <v>2948.85</v>
      </c>
      <c r="J90" s="1">
        <v>4019.3</v>
      </c>
      <c r="K90" s="1">
        <v>5347.7</v>
      </c>
    </row>
    <row r="91" spans="1:12" x14ac:dyDescent="0.25">
      <c r="B91" s="26"/>
      <c r="C91" s="26"/>
      <c r="D91" s="26"/>
      <c r="E91" s="26"/>
    </row>
    <row r="92" spans="1:12" s="3" customFormat="1" x14ac:dyDescent="0.25">
      <c r="A92" s="3" t="s">
        <v>40</v>
      </c>
      <c r="B92" s="27"/>
      <c r="C92" s="27"/>
      <c r="D92" s="27"/>
      <c r="E92" s="27"/>
    </row>
    <row r="93" spans="1:12" x14ac:dyDescent="0.25">
      <c r="A93" s="4" t="s">
        <v>53</v>
      </c>
      <c r="B93" s="46">
        <v>27.16</v>
      </c>
      <c r="C93" s="46">
        <v>27.21</v>
      </c>
      <c r="D93" s="46">
        <v>27.26</v>
      </c>
      <c r="E93" s="46">
        <v>27.28</v>
      </c>
      <c r="F93" s="7">
        <v>27.31</v>
      </c>
      <c r="G93" s="7">
        <v>27.33</v>
      </c>
      <c r="H93" s="7">
        <v>27.34</v>
      </c>
      <c r="I93" s="7">
        <v>27.35</v>
      </c>
      <c r="J93" s="7">
        <v>27.38</v>
      </c>
      <c r="K93" s="7">
        <v>27.42</v>
      </c>
    </row>
    <row r="94" spans="1:12" x14ac:dyDescent="0.25">
      <c r="B94" s="26"/>
      <c r="C94" s="26"/>
      <c r="D94" s="26"/>
      <c r="E94" s="26"/>
    </row>
    <row r="95" spans="1:12" x14ac:dyDescent="0.25">
      <c r="B95" s="26"/>
      <c r="C95" s="26"/>
      <c r="D95" s="26"/>
      <c r="E95" s="26"/>
    </row>
    <row r="96" spans="1:12" x14ac:dyDescent="0.25">
      <c r="B96" s="26"/>
      <c r="C96" s="26"/>
      <c r="D96" s="26"/>
      <c r="E96" s="26"/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3DD3-C034-4F68-9AF8-29E4EC46B78F}">
  <dimension ref="B2:N29"/>
  <sheetViews>
    <sheetView showGridLines="0" workbookViewId="0">
      <selection activeCell="R11" sqref="R11"/>
    </sheetView>
  </sheetViews>
  <sheetFormatPr defaultRowHeight="14.4" x14ac:dyDescent="0.3"/>
  <cols>
    <col min="2" max="2" width="25.77734375" bestFit="1" customWidth="1"/>
  </cols>
  <sheetData>
    <row r="2" spans="2:14" x14ac:dyDescent="0.3">
      <c r="C2" s="31">
        <v>41609</v>
      </c>
      <c r="D2" s="31">
        <v>41974</v>
      </c>
      <c r="E2" s="31">
        <v>42430</v>
      </c>
      <c r="F2" s="31">
        <v>42795</v>
      </c>
      <c r="G2" s="31">
        <v>43160</v>
      </c>
      <c r="H2" s="31">
        <v>43525</v>
      </c>
      <c r="I2" s="41">
        <v>43891</v>
      </c>
      <c r="J2" s="29">
        <v>44256</v>
      </c>
      <c r="K2" s="29">
        <v>44621</v>
      </c>
      <c r="L2" s="29">
        <v>44986</v>
      </c>
      <c r="M2" s="29">
        <v>45352</v>
      </c>
      <c r="N2" s="29">
        <v>45717</v>
      </c>
    </row>
    <row r="3" spans="2:14" x14ac:dyDescent="0.3">
      <c r="B3" t="s">
        <v>110</v>
      </c>
      <c r="C3" s="32">
        <v>716</v>
      </c>
      <c r="D3" s="33">
        <v>1047</v>
      </c>
      <c r="E3" s="33">
        <v>1463</v>
      </c>
      <c r="F3" s="33">
        <v>1708</v>
      </c>
      <c r="G3" s="33">
        <v>2482</v>
      </c>
      <c r="H3" s="33">
        <v>1575</v>
      </c>
      <c r="I3" s="42">
        <v>1694</v>
      </c>
      <c r="J3" s="30">
        <v>1691</v>
      </c>
      <c r="K3" s="30">
        <v>1527</v>
      </c>
      <c r="L3" s="30">
        <v>2823</v>
      </c>
      <c r="M3" s="30">
        <v>3724</v>
      </c>
      <c r="N3" s="30">
        <v>3980</v>
      </c>
    </row>
    <row r="4" spans="2:14" x14ac:dyDescent="0.3">
      <c r="B4" t="s">
        <v>89</v>
      </c>
      <c r="C4" s="32">
        <v>718</v>
      </c>
      <c r="D4" s="33">
        <v>1126</v>
      </c>
      <c r="E4" s="33">
        <v>1719</v>
      </c>
      <c r="F4" s="33">
        <v>2196</v>
      </c>
      <c r="G4" s="33">
        <v>2851</v>
      </c>
      <c r="H4" s="33">
        <v>2941</v>
      </c>
      <c r="I4" s="42">
        <v>2236</v>
      </c>
      <c r="J4" s="30">
        <v>1912</v>
      </c>
      <c r="K4" s="30">
        <v>2172</v>
      </c>
      <c r="L4" s="30">
        <v>3527</v>
      </c>
      <c r="M4" s="30">
        <v>4404</v>
      </c>
      <c r="N4" s="30">
        <v>4849</v>
      </c>
    </row>
    <row r="5" spans="2:14" x14ac:dyDescent="0.3">
      <c r="B5" t="s">
        <v>42</v>
      </c>
      <c r="C5" s="32">
        <v>-67</v>
      </c>
      <c r="D5" s="32">
        <v>-50</v>
      </c>
      <c r="E5" s="32">
        <v>-22</v>
      </c>
      <c r="F5" s="32">
        <v>-17</v>
      </c>
      <c r="G5" s="32">
        <v>-18</v>
      </c>
      <c r="H5" s="32">
        <v>-18</v>
      </c>
      <c r="I5" s="43">
        <v>0</v>
      </c>
      <c r="J5">
        <v>-73</v>
      </c>
      <c r="K5">
        <v>-147</v>
      </c>
      <c r="L5">
        <v>-59</v>
      </c>
      <c r="M5">
        <v>-5</v>
      </c>
      <c r="N5">
        <v>-176</v>
      </c>
    </row>
    <row r="6" spans="2:14" x14ac:dyDescent="0.3">
      <c r="B6" t="s">
        <v>29</v>
      </c>
      <c r="C6" s="32">
        <v>-38</v>
      </c>
      <c r="D6" s="32">
        <v>-119</v>
      </c>
      <c r="E6" s="32">
        <v>-104</v>
      </c>
      <c r="F6" s="32">
        <v>-28</v>
      </c>
      <c r="G6" s="32">
        <v>-59</v>
      </c>
      <c r="H6" s="32">
        <v>-239</v>
      </c>
      <c r="I6" s="43">
        <v>61</v>
      </c>
      <c r="J6">
        <v>-302</v>
      </c>
      <c r="K6">
        <v>-258</v>
      </c>
      <c r="L6">
        <v>-146</v>
      </c>
      <c r="M6">
        <v>-131</v>
      </c>
      <c r="N6">
        <v>-154</v>
      </c>
    </row>
    <row r="7" spans="2:14" x14ac:dyDescent="0.3">
      <c r="B7" t="s">
        <v>90</v>
      </c>
      <c r="C7" s="32">
        <v>237</v>
      </c>
      <c r="D7" s="32">
        <v>321</v>
      </c>
      <c r="E7" s="32">
        <v>241</v>
      </c>
      <c r="F7" s="32">
        <v>110</v>
      </c>
      <c r="G7" s="32">
        <v>407</v>
      </c>
      <c r="H7" s="32">
        <v>62</v>
      </c>
      <c r="I7" s="43">
        <v>-235</v>
      </c>
      <c r="J7">
        <v>495</v>
      </c>
      <c r="K7">
        <v>283</v>
      </c>
      <c r="L7">
        <v>22</v>
      </c>
      <c r="M7">
        <v>304</v>
      </c>
      <c r="N7">
        <v>440</v>
      </c>
    </row>
    <row r="8" spans="2:14" x14ac:dyDescent="0.3">
      <c r="B8" t="s">
        <v>91</v>
      </c>
      <c r="C8" s="32">
        <v>-20</v>
      </c>
      <c r="D8" s="32">
        <v>-103</v>
      </c>
      <c r="E8" s="32">
        <v>-12</v>
      </c>
      <c r="F8" s="32">
        <v>6</v>
      </c>
      <c r="G8" s="32">
        <v>0</v>
      </c>
      <c r="H8" s="32">
        <v>-1</v>
      </c>
      <c r="I8" s="43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92</v>
      </c>
      <c r="C9" s="32">
        <v>37</v>
      </c>
      <c r="D9" s="32">
        <v>152</v>
      </c>
      <c r="E9" s="32">
        <v>160</v>
      </c>
      <c r="F9" s="32">
        <v>92</v>
      </c>
      <c r="G9" s="32">
        <v>109</v>
      </c>
      <c r="H9" s="32">
        <v>-262</v>
      </c>
      <c r="I9" s="43">
        <v>259</v>
      </c>
      <c r="J9">
        <v>115</v>
      </c>
      <c r="K9">
        <v>-10</v>
      </c>
      <c r="L9">
        <v>249</v>
      </c>
      <c r="M9">
        <v>220</v>
      </c>
      <c r="N9">
        <v>101</v>
      </c>
    </row>
    <row r="10" spans="2:14" x14ac:dyDescent="0.3">
      <c r="B10" t="s">
        <v>93</v>
      </c>
      <c r="C10" s="32">
        <v>149</v>
      </c>
      <c r="D10" s="32">
        <v>202</v>
      </c>
      <c r="E10" s="32">
        <v>263</v>
      </c>
      <c r="F10" s="32">
        <v>163</v>
      </c>
      <c r="G10" s="32">
        <v>438</v>
      </c>
      <c r="H10" s="32">
        <v>-457</v>
      </c>
      <c r="I10" s="43">
        <v>86</v>
      </c>
      <c r="J10">
        <v>235</v>
      </c>
      <c r="K10">
        <v>-131</v>
      </c>
      <c r="L10">
        <v>66</v>
      </c>
      <c r="M10">
        <v>388</v>
      </c>
      <c r="N10">
        <v>211</v>
      </c>
    </row>
    <row r="11" spans="2:14" x14ac:dyDescent="0.3">
      <c r="B11" t="s">
        <v>94</v>
      </c>
      <c r="C11" s="32">
        <v>-150</v>
      </c>
      <c r="D11" s="32">
        <v>-281</v>
      </c>
      <c r="E11" s="32">
        <v>-519</v>
      </c>
      <c r="F11" s="32">
        <v>-652</v>
      </c>
      <c r="G11" s="32">
        <v>-807</v>
      </c>
      <c r="H11" s="32">
        <v>-908</v>
      </c>
      <c r="I11" s="43">
        <v>-628</v>
      </c>
      <c r="J11">
        <v>-457</v>
      </c>
      <c r="K11">
        <v>-514</v>
      </c>
      <c r="L11">
        <v>-770</v>
      </c>
      <c r="M11" s="30">
        <v>-1068</v>
      </c>
      <c r="N11" s="30">
        <v>-1080</v>
      </c>
    </row>
    <row r="12" spans="2:14" x14ac:dyDescent="0.3">
      <c r="B12" t="s">
        <v>111</v>
      </c>
      <c r="C12" s="32">
        <v>-790</v>
      </c>
      <c r="D12" s="33">
        <v>-1214</v>
      </c>
      <c r="E12" s="33">
        <v>-1001</v>
      </c>
      <c r="F12" s="33">
        <v>-1744</v>
      </c>
      <c r="G12" s="33">
        <v>-2145</v>
      </c>
      <c r="H12" s="32">
        <v>-660</v>
      </c>
      <c r="I12" s="42">
        <v>-1508</v>
      </c>
      <c r="J12" s="30">
        <v>-1625</v>
      </c>
      <c r="K12">
        <v>-983</v>
      </c>
      <c r="L12" s="30">
        <v>-2397</v>
      </c>
      <c r="M12" s="30">
        <v>-2834</v>
      </c>
      <c r="N12" s="30">
        <v>-2461</v>
      </c>
    </row>
    <row r="13" spans="2:14" x14ac:dyDescent="0.3">
      <c r="B13" t="s">
        <v>95</v>
      </c>
      <c r="C13" s="32">
        <v>-712</v>
      </c>
      <c r="D13" s="32">
        <v>-972</v>
      </c>
      <c r="E13" s="32">
        <v>-510</v>
      </c>
      <c r="F13" s="32">
        <v>-548</v>
      </c>
      <c r="G13" s="32">
        <v>-748</v>
      </c>
      <c r="H13" s="32">
        <v>-792</v>
      </c>
      <c r="I13" s="43">
        <v>-546</v>
      </c>
      <c r="J13">
        <v>-532</v>
      </c>
      <c r="K13">
        <v>-641</v>
      </c>
      <c r="L13">
        <v>-682</v>
      </c>
      <c r="M13">
        <v>-819</v>
      </c>
      <c r="N13" s="30">
        <v>-1039</v>
      </c>
    </row>
    <row r="14" spans="2:14" x14ac:dyDescent="0.3">
      <c r="B14" t="s">
        <v>96</v>
      </c>
      <c r="C14" s="32">
        <v>7</v>
      </c>
      <c r="D14" s="32">
        <v>4</v>
      </c>
      <c r="E14" s="32">
        <v>1</v>
      </c>
      <c r="F14" s="32">
        <v>1</v>
      </c>
      <c r="G14" s="32">
        <v>3</v>
      </c>
      <c r="H14" s="32">
        <v>2</v>
      </c>
      <c r="I14" s="43">
        <v>1</v>
      </c>
      <c r="J14">
        <v>17</v>
      </c>
      <c r="K14">
        <v>2</v>
      </c>
      <c r="L14">
        <v>9</v>
      </c>
      <c r="M14">
        <v>4</v>
      </c>
      <c r="N14">
        <v>11</v>
      </c>
    </row>
    <row r="15" spans="2:14" x14ac:dyDescent="0.3">
      <c r="B15" t="s">
        <v>97</v>
      </c>
      <c r="C15" s="32">
        <v>-187</v>
      </c>
      <c r="D15" s="32">
        <v>-181</v>
      </c>
      <c r="E15" s="32">
        <v>-662</v>
      </c>
      <c r="F15" s="33">
        <v>-4247</v>
      </c>
      <c r="G15" s="33">
        <v>-6464</v>
      </c>
      <c r="H15" s="33">
        <v>-7929</v>
      </c>
      <c r="I15" s="42">
        <v>-8746</v>
      </c>
      <c r="J15" s="30">
        <v>-3983</v>
      </c>
      <c r="K15" s="30">
        <v>-7134</v>
      </c>
      <c r="L15" s="30">
        <v>-9103</v>
      </c>
      <c r="M15" s="30">
        <v>-6106</v>
      </c>
      <c r="N15" s="30">
        <v>-6939</v>
      </c>
    </row>
    <row r="16" spans="2:14" x14ac:dyDescent="0.3">
      <c r="B16" t="s">
        <v>98</v>
      </c>
      <c r="C16" s="32">
        <v>29</v>
      </c>
      <c r="D16" s="32">
        <v>0</v>
      </c>
      <c r="E16" s="32">
        <v>158</v>
      </c>
      <c r="F16" s="33">
        <v>3051</v>
      </c>
      <c r="G16" s="33">
        <v>6124</v>
      </c>
      <c r="H16" s="33">
        <v>9051</v>
      </c>
      <c r="I16" s="42">
        <v>8176</v>
      </c>
      <c r="J16" s="30">
        <v>5971</v>
      </c>
      <c r="K16" s="30">
        <v>3500</v>
      </c>
      <c r="L16" s="30">
        <v>5080</v>
      </c>
      <c r="M16" s="30">
        <v>5968</v>
      </c>
      <c r="N16" s="30">
        <v>6826</v>
      </c>
    </row>
    <row r="17" spans="2:14" x14ac:dyDescent="0.3">
      <c r="B17" t="s">
        <v>99</v>
      </c>
      <c r="C17" s="32">
        <v>66</v>
      </c>
      <c r="D17" s="32">
        <v>55</v>
      </c>
      <c r="E17" s="32">
        <v>4</v>
      </c>
      <c r="F17" s="32">
        <v>3</v>
      </c>
      <c r="G17" s="32">
        <v>12</v>
      </c>
      <c r="H17" s="32">
        <v>90</v>
      </c>
      <c r="I17" s="43">
        <v>204</v>
      </c>
      <c r="J17">
        <v>192</v>
      </c>
      <c r="K17">
        <v>398</v>
      </c>
      <c r="L17">
        <v>204</v>
      </c>
      <c r="M17">
        <v>112</v>
      </c>
      <c r="N17">
        <v>188</v>
      </c>
    </row>
    <row r="18" spans="2:14" x14ac:dyDescent="0.3">
      <c r="B18" t="s">
        <v>100</v>
      </c>
      <c r="C18" s="32">
        <v>7</v>
      </c>
      <c r="D18" s="32">
        <v>5</v>
      </c>
      <c r="E18" s="32">
        <v>107</v>
      </c>
      <c r="F18" s="32">
        <v>0</v>
      </c>
      <c r="G18" s="32">
        <v>52</v>
      </c>
      <c r="H18" s="32">
        <v>65</v>
      </c>
      <c r="I18" s="43">
        <v>68</v>
      </c>
      <c r="J18">
        <v>0</v>
      </c>
      <c r="K18">
        <v>27</v>
      </c>
      <c r="L18">
        <v>41</v>
      </c>
      <c r="M18">
        <v>95</v>
      </c>
      <c r="N18">
        <v>136</v>
      </c>
    </row>
    <row r="19" spans="2:14" x14ac:dyDescent="0.3">
      <c r="B19" t="s">
        <v>101</v>
      </c>
      <c r="C19" s="32">
        <v>0</v>
      </c>
      <c r="D19" s="32">
        <v>0</v>
      </c>
      <c r="E19" s="32">
        <v>-109</v>
      </c>
      <c r="F19" s="32">
        <v>-39</v>
      </c>
      <c r="G19" s="32">
        <v>-16</v>
      </c>
      <c r="H19" s="32">
        <v>-30</v>
      </c>
      <c r="I19" s="43">
        <v>-1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">
      <c r="B20" t="s">
        <v>102</v>
      </c>
      <c r="C20" s="32">
        <v>0</v>
      </c>
      <c r="D20" s="32">
        <v>-125</v>
      </c>
      <c r="E20" s="32">
        <v>9</v>
      </c>
      <c r="F20" s="32">
        <v>36</v>
      </c>
      <c r="G20" s="33">
        <v>-1106</v>
      </c>
      <c r="H20" s="33">
        <v>-1117</v>
      </c>
      <c r="I20" s="43">
        <v>-665</v>
      </c>
      <c r="J20" s="30">
        <v>-3290</v>
      </c>
      <c r="K20" s="30">
        <v>2864</v>
      </c>
      <c r="L20" s="30">
        <v>2055</v>
      </c>
      <c r="M20" s="30">
        <v>-2089</v>
      </c>
      <c r="N20" s="30">
        <v>-1643</v>
      </c>
    </row>
    <row r="21" spans="2:14" x14ac:dyDescent="0.3">
      <c r="B21" t="s">
        <v>112</v>
      </c>
      <c r="C21" s="32">
        <v>-47</v>
      </c>
      <c r="D21" s="32">
        <v>-162</v>
      </c>
      <c r="E21" s="32">
        <v>-466</v>
      </c>
      <c r="F21" s="32">
        <v>25</v>
      </c>
      <c r="G21" s="32">
        <v>-262</v>
      </c>
      <c r="H21" s="32">
        <v>-292</v>
      </c>
      <c r="I21" s="43">
        <v>-858</v>
      </c>
      <c r="J21">
        <v>-15</v>
      </c>
      <c r="K21">
        <v>-593</v>
      </c>
      <c r="L21">
        <v>-417</v>
      </c>
      <c r="M21">
        <v>-844</v>
      </c>
      <c r="N21" s="30">
        <v>-1399</v>
      </c>
    </row>
    <row r="22" spans="2:14" x14ac:dyDescent="0.3">
      <c r="B22" t="s">
        <v>103</v>
      </c>
      <c r="C22" s="32">
        <v>2</v>
      </c>
      <c r="D22" s="32">
        <v>8</v>
      </c>
      <c r="E22" s="32">
        <v>5</v>
      </c>
      <c r="F22" s="32">
        <v>6</v>
      </c>
      <c r="G22" s="32">
        <v>19</v>
      </c>
      <c r="H22" s="32">
        <v>36</v>
      </c>
      <c r="I22" s="43">
        <v>29</v>
      </c>
      <c r="J22">
        <v>38</v>
      </c>
      <c r="K22">
        <v>6</v>
      </c>
      <c r="L22">
        <v>11</v>
      </c>
      <c r="M22">
        <v>47</v>
      </c>
      <c r="N22">
        <v>97</v>
      </c>
    </row>
    <row r="23" spans="2:14" x14ac:dyDescent="0.3">
      <c r="B23" t="s">
        <v>104</v>
      </c>
      <c r="C23" s="32">
        <v>62</v>
      </c>
      <c r="D23" s="32">
        <v>0</v>
      </c>
      <c r="E23" s="32">
        <v>0</v>
      </c>
      <c r="F23" s="32">
        <v>389</v>
      </c>
      <c r="G23" s="32">
        <v>495</v>
      </c>
      <c r="H23" s="32">
        <v>369</v>
      </c>
      <c r="I23" s="43">
        <v>267</v>
      </c>
      <c r="J23">
        <v>40</v>
      </c>
      <c r="K23">
        <v>32</v>
      </c>
      <c r="L23">
        <v>202</v>
      </c>
      <c r="M23">
        <v>322</v>
      </c>
      <c r="N23">
        <v>38</v>
      </c>
    </row>
    <row r="24" spans="2:14" x14ac:dyDescent="0.3">
      <c r="B24" t="s">
        <v>105</v>
      </c>
      <c r="C24" s="32">
        <v>-1</v>
      </c>
      <c r="D24" s="32">
        <v>-26</v>
      </c>
      <c r="E24" s="32">
        <v>0</v>
      </c>
      <c r="F24" s="32">
        <v>-345</v>
      </c>
      <c r="G24" s="32">
        <v>-456</v>
      </c>
      <c r="H24" s="32">
        <v>-344</v>
      </c>
      <c r="I24" s="43">
        <v>-298</v>
      </c>
      <c r="J24">
        <v>-27</v>
      </c>
      <c r="K24">
        <v>-137</v>
      </c>
      <c r="L24">
        <v>-20</v>
      </c>
      <c r="M24">
        <v>-127</v>
      </c>
      <c r="N24">
        <v>-43</v>
      </c>
    </row>
    <row r="25" spans="2:14" x14ac:dyDescent="0.3">
      <c r="B25" t="s">
        <v>106</v>
      </c>
      <c r="C25" s="32">
        <v>-8</v>
      </c>
      <c r="D25" s="32">
        <v>-10</v>
      </c>
      <c r="E25" s="32">
        <v>-2</v>
      </c>
      <c r="F25" s="32">
        <v>-2</v>
      </c>
      <c r="G25" s="32">
        <v>-3</v>
      </c>
      <c r="H25" s="32">
        <v>-5</v>
      </c>
      <c r="I25" s="43">
        <v>-8</v>
      </c>
      <c r="J25">
        <v>-16</v>
      </c>
      <c r="K25">
        <v>-19</v>
      </c>
      <c r="L25">
        <v>-18</v>
      </c>
      <c r="M25">
        <v>-35</v>
      </c>
      <c r="N25">
        <v>-37</v>
      </c>
    </row>
    <row r="26" spans="2:14" x14ac:dyDescent="0.3">
      <c r="B26" t="s">
        <v>107</v>
      </c>
      <c r="C26" s="32">
        <v>-88</v>
      </c>
      <c r="D26" s="32">
        <v>-115</v>
      </c>
      <c r="E26" s="32">
        <v>-407</v>
      </c>
      <c r="F26" s="32">
        <v>0</v>
      </c>
      <c r="G26" s="32">
        <v>-272</v>
      </c>
      <c r="H26" s="32">
        <v>-300</v>
      </c>
      <c r="I26" s="43">
        <v>-682</v>
      </c>
      <c r="J26">
        <v>0</v>
      </c>
      <c r="K26">
        <v>-465</v>
      </c>
      <c r="L26">
        <v>-574</v>
      </c>
      <c r="M26" s="30">
        <v>-1013</v>
      </c>
      <c r="N26" s="30">
        <v>-1397</v>
      </c>
    </row>
    <row r="27" spans="2:14" x14ac:dyDescent="0.3">
      <c r="B27" t="s">
        <v>108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43">
        <v>-40</v>
      </c>
      <c r="J27">
        <v>-39</v>
      </c>
      <c r="K27">
        <v>-17</v>
      </c>
      <c r="L27">
        <v>-19</v>
      </c>
      <c r="M27">
        <v>-37</v>
      </c>
      <c r="N27">
        <v>-56</v>
      </c>
    </row>
    <row r="28" spans="2:14" x14ac:dyDescent="0.3">
      <c r="B28" t="s">
        <v>109</v>
      </c>
      <c r="C28" s="32">
        <v>-14</v>
      </c>
      <c r="D28" s="32">
        <v>-20</v>
      </c>
      <c r="E28" s="32">
        <v>-61</v>
      </c>
      <c r="F28" s="32">
        <v>-23</v>
      </c>
      <c r="G28" s="32">
        <v>-45</v>
      </c>
      <c r="H28" s="32">
        <v>-48</v>
      </c>
      <c r="I28" s="43">
        <v>-126</v>
      </c>
      <c r="J28">
        <v>-11</v>
      </c>
      <c r="K28">
        <v>5</v>
      </c>
      <c r="L28">
        <v>0</v>
      </c>
      <c r="M28">
        <v>0</v>
      </c>
      <c r="N28">
        <v>0</v>
      </c>
    </row>
    <row r="29" spans="2:14" x14ac:dyDescent="0.3">
      <c r="B29" t="s">
        <v>20</v>
      </c>
      <c r="C29" s="32">
        <v>-121</v>
      </c>
      <c r="D29" s="32">
        <v>-329</v>
      </c>
      <c r="E29" s="32">
        <v>-4</v>
      </c>
      <c r="F29" s="32">
        <v>-10</v>
      </c>
      <c r="G29" s="32">
        <v>75</v>
      </c>
      <c r="H29" s="32">
        <v>623</v>
      </c>
      <c r="I29" s="43">
        <v>-673</v>
      </c>
      <c r="J29">
        <v>51</v>
      </c>
      <c r="K29">
        <v>-50</v>
      </c>
      <c r="L29">
        <v>8</v>
      </c>
      <c r="M29">
        <v>45</v>
      </c>
      <c r="N29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Ratio Analysis</vt:lpstr>
      <vt:lpstr>Financial Statment Analysi</vt:lpstr>
      <vt:lpstr>Data Sheet</vt:lpstr>
      <vt:lpstr>Cash Flow Statement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Mukul Kumar Gupta</cp:lastModifiedBy>
  <cp:lastPrinted>2026-02-25T13:51:51Z</cp:lastPrinted>
  <dcterms:created xsi:type="dcterms:W3CDTF">2012-08-17T09:55:37Z</dcterms:created>
  <dcterms:modified xsi:type="dcterms:W3CDTF">2026-02-27T09:41:08Z</dcterms:modified>
</cp:coreProperties>
</file>